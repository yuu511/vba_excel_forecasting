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  <sheet name="cycle_inventory" sheetId="7" r:id="rId7"/>
    <sheet name="safety_inventory" sheetId="8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6" i="8"/>
  <c r="B5" i="8"/>
  <c r="B4" i="8"/>
  <c r="B3" i="8"/>
  <c r="B2" i="8"/>
  <c r="B1" i="8"/>
  <c r="E22" i="6"/>
  <c r="D18" i="6"/>
  <c r="C18" i="6"/>
  <c r="B18" i="6"/>
  <c r="F18" i="6"/>
  <c r="E21" i="6"/>
  <c r="D17" i="6"/>
  <c r="C17" i="6"/>
  <c r="B17" i="6"/>
  <c r="F17" i="6"/>
  <c r="E20" i="6"/>
  <c r="D16" i="6"/>
  <c r="C16" i="6"/>
  <c r="B16" i="6"/>
  <c r="F16" i="6"/>
  <c r="E19" i="6"/>
  <c r="D15" i="6"/>
  <c r="C15" i="6"/>
  <c r="B15" i="6"/>
  <c r="F15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B17" i="1"/>
  <c r="H17" i="1"/>
  <c r="B16" i="1"/>
  <c r="H16" i="1"/>
  <c r="B15" i="1"/>
  <c r="H15" i="1"/>
  <c r="B14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B4" i="7"/>
  <c r="B3" i="7"/>
  <c r="B2" i="7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A18" i="4"/>
  <c r="D18" i="4"/>
  <c r="A17" i="4"/>
  <c r="D17" i="4"/>
  <c r="A16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A17" i="3"/>
  <c r="D17" i="3"/>
  <c r="A16" i="3"/>
  <c r="D16" i="3"/>
  <c r="A15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B1" i="7" l="1"/>
  <c r="B5" i="7" s="1"/>
  <c r="B10" i="7" l="1"/>
  <c r="B6" i="7"/>
  <c r="B8" i="7"/>
  <c r="B7" i="7"/>
  <c r="B9" i="7" s="1"/>
</calcChain>
</file>

<file path=xl/sharedStrings.xml><?xml version="1.0" encoding="utf-8"?>
<sst xmlns="http://schemas.openxmlformats.org/spreadsheetml/2006/main" count="101" uniqueCount="55">
  <si>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</si>
  <si>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</si>
  <si>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</si>
  <si>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</si>
  <si>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</si>
  <si>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</si>
  <si>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</si>
  <si>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</si>
  <si>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</si>
  <si>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</si>
  <si>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</si>
  <si>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</si>
  <si>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</si>
  <si>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</si>
  <si>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</si>
  <si>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</si>
  <si>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</si>
  <si>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</si>
  <si>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</si>
  <si>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</si>
  <si>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</si>
  <si>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</si>
  <si>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</si>
  <si>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</si>
  <si>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</si>
  <si>
    <t>Demand(D)</t>
  </si>
  <si>
    <t>Unit Cost(C)</t>
  </si>
  <si>
    <t>Shipping_order cost (S)</t>
  </si>
  <si>
    <t>Holding_cost(H)</t>
  </si>
  <si>
    <t>Optimal Lot size (Ql)</t>
  </si>
  <si>
    <t>Cycle inventory Holding Cost</t>
  </si>
  <si>
    <t>Replenishment Time</t>
  </si>
  <si>
    <t>Average Flow time</t>
  </si>
  <si>
    <t>Cycle Inventory</t>
  </si>
  <si>
    <t>Number of orders(shipments) /yr</t>
  </si>
  <si>
    <t>Std_deviation</t>
  </si>
  <si>
    <t>L</t>
  </si>
  <si>
    <t>DL</t>
  </si>
  <si>
    <t>Sigma_L</t>
  </si>
  <si>
    <t>F^-1CSL</t>
  </si>
  <si>
    <t>Safety_stock</t>
  </si>
  <si>
    <t>Unit  Cost</t>
  </si>
  <si>
    <t>Shipping Order Cost</t>
  </si>
  <si>
    <t>Lead Time (weeks)</t>
  </si>
  <si>
    <t>Holding Order Cost (%)</t>
  </si>
  <si>
    <t>Cycle Inventory Parameters</t>
  </si>
  <si>
    <t>Safety inventory Parameters</t>
  </si>
  <si>
    <t>Desired Safety Inventory (%)</t>
  </si>
  <si>
    <t>Forecast Parameters</t>
  </si>
  <si>
    <t>Alpha Value : Simple Exponential Smoothing</t>
  </si>
  <si>
    <t>Alpha Value : Holt Trend Smoothing</t>
  </si>
  <si>
    <t>Beta Value : Holt Trend Smoothing</t>
  </si>
  <si>
    <t>Alpha Value : Winter Smoothing</t>
  </si>
  <si>
    <t>Beta Value: Winter Smoothing</t>
  </si>
  <si>
    <t>Gamma Value: Winter Smoothing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</si>
</sst>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4" borderId="0" xfId="0" applyFont="1" applyFill="1"/>
    <xf numFmtId="9" fontId="0" fillId="0" borderId="0" xfId="0" applyNumberFormat="1"/>
    <xf numFmtId="0" fontId="1" fillId="6" borderId="0" xfId="0" applyFont="1" applyFill="1"/>
    <xf numFmtId="0" fontId="1" fillId="7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"/>
  <sheetViews>
    <sheetView tabSelected="1" zoomScale="85" zoomScaleNormal="85" workbookViewId="0">
      <selection activeCell="E36" sqref="E36"/>
    </sheetView>
  </sheetViews>
  <sheetFormatPr defaultRowHeight="15" x14ac:dyDescent="0.25"/>
  <cols>
    <col min="3" max="3" width="18.42578125" customWidth="1"/>
    <col min="4" max="4" width="51.7109375" customWidth="1"/>
    <col min="5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s="11" t="s">
        <v>0</v>
      </c>
      <c r="B1" s="11" t="s">
        <v>1</v>
      </c>
      <c r="C1" s="11" t="s">
        <v>15</v>
      </c>
      <c r="D1" s="4" t="s">
        <v>48</v>
      </c>
      <c r="G1" s="4" t="s">
        <v>20</v>
      </c>
      <c r="H1" s="4" t="s">
        <v>22</v>
      </c>
      <c r="I1" s="4" t="s">
        <v>21</v>
      </c>
      <c r="J1" s="4" t="s">
        <v>23</v>
      </c>
      <c r="K1" s="4" t="s">
        <v>24</v>
      </c>
    </row>
    <row r="2" spans="1:11" x14ac:dyDescent="0.25">
      <c r="A2">
        <v>1</v>
      </c>
      <c r="B2">
        <v>11750</v>
      </c>
      <c r="C2">
        <v>4</v>
      </c>
      <c r="D2" s="6" t="s">
        <v>49</v>
      </c>
      <c r="G2">
        <v>4</v>
      </c>
      <c r="H2">
        <v>4</v>
      </c>
      <c r="I2">
        <v>4</v>
      </c>
      <c r="J2">
        <v>4</v>
      </c>
      <c r="K2">
        <v>4</v>
      </c>
    </row>
    <row r="3" spans="1:11" x14ac:dyDescent="0.25">
      <c r="A3">
        <v>2</v>
      </c>
      <c r="B3">
        <v>18500</v>
      </c>
      <c r="D3">
        <v>0.1</v>
      </c>
    </row>
    <row r="4" spans="1:11" x14ac:dyDescent="0.25">
      <c r="A4">
        <v>3</v>
      </c>
      <c r="B4">
        <v>22333.33</v>
      </c>
      <c r="D4" s="6" t="s">
        <v>50</v>
      </c>
      <c r="E4" s="7" t="s">
        <v>51</v>
      </c>
    </row>
    <row r="5" spans="1:11" x14ac:dyDescent="0.25">
      <c r="A5">
        <v>4</v>
      </c>
      <c r="B5">
        <v>14416.67</v>
      </c>
      <c r="D5">
        <v>0.1</v>
      </c>
      <c r="E5">
        <v>0.2</v>
      </c>
    </row>
    <row r="6" spans="1:11" x14ac:dyDescent="0.25">
      <c r="A6">
        <v>5</v>
      </c>
      <c r="B6">
        <v>13000</v>
      </c>
      <c r="D6" s="6" t="s">
        <v>52</v>
      </c>
      <c r="E6" s="7" t="s">
        <v>53</v>
      </c>
      <c r="F6" s="5" t="s">
        <v>54</v>
      </c>
    </row>
    <row r="7" spans="1:11" x14ac:dyDescent="0.25">
      <c r="A7">
        <v>6</v>
      </c>
      <c r="B7">
        <v>20166.669999999998</v>
      </c>
      <c r="D7">
        <v>0.05</v>
      </c>
      <c r="E7">
        <v>0.05</v>
      </c>
      <c r="F7">
        <v>0.05</v>
      </c>
    </row>
    <row r="8" spans="1:11" x14ac:dyDescent="0.25">
      <c r="A8">
        <v>7</v>
      </c>
      <c r="B8">
        <v>24500</v>
      </c>
      <c r="D8" s="4" t="s">
        <v>45</v>
      </c>
    </row>
    <row r="9" spans="1:11" x14ac:dyDescent="0.25">
      <c r="A9">
        <v>8</v>
      </c>
      <c r="B9">
        <v>17166.669999999998</v>
      </c>
      <c r="D9" s="6" t="s">
        <v>41</v>
      </c>
      <c r="E9" s="7" t="s">
        <v>42</v>
      </c>
      <c r="F9" s="8" t="s">
        <v>44</v>
      </c>
    </row>
    <row r="10" spans="1:11" x14ac:dyDescent="0.25">
      <c r="A10">
        <v>9</v>
      </c>
      <c r="B10">
        <v>14000</v>
      </c>
      <c r="D10">
        <v>1000</v>
      </c>
      <c r="E10">
        <v>7500</v>
      </c>
      <c r="F10" s="9">
        <v>0.1</v>
      </c>
    </row>
    <row r="11" spans="1:11" x14ac:dyDescent="0.25">
      <c r="A11">
        <v>10</v>
      </c>
      <c r="B11">
        <v>21833.33</v>
      </c>
      <c r="D11" s="4" t="s">
        <v>46</v>
      </c>
    </row>
    <row r="12" spans="1:11" x14ac:dyDescent="0.25">
      <c r="A12">
        <v>11</v>
      </c>
      <c r="B12">
        <v>26166.67</v>
      </c>
      <c r="D12" s="6" t="s">
        <v>47</v>
      </c>
      <c r="E12" s="10" t="s">
        <v>43</v>
      </c>
    </row>
    <row r="13" spans="1:11" x14ac:dyDescent="0.25">
      <c r="A13">
        <v>12</v>
      </c>
      <c r="B13">
        <v>18333.330000000002</v>
      </c>
      <c r="D13" s="9">
        <v>0.95</v>
      </c>
      <c r="E13">
        <v>2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5"/>
  <sheetViews>
    <sheetView workbookViewId="0">
      <selection activeCell="C19" sqref="C19"/>
    </sheetView>
  </sheetViews>
  <sheetFormatPr defaultRowHeight="15" x14ac:dyDescent="0.25"/>
  <cols>
    <col min="3" max="3" width="17" customWidth="1"/>
    <col min="4" max="4" width="35.85546875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  <col min="13" max="13" width="18.710937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11750</v>
      </c>
      <c r="E2">
        <f t="shared" ref="E2:E13" si="0">15575+B2*446</f>
        <v>16021</v>
      </c>
      <c r="F2">
        <f t="shared" ref="F2:F13" si="1">C2/E2</f>
        <v>0.73341239622994814</v>
      </c>
      <c r="G2">
        <f>SUM(F2,F6,F10,)/3</f>
        <v>0.72607706521852988</v>
      </c>
      <c r="H2">
        <f>E2*G2</f>
        <v>11632.480661866068</v>
      </c>
      <c r="I2">
        <f t="shared" ref="I2:I13" si="2">H2-C2</f>
        <v>-117.51933813393225</v>
      </c>
      <c r="J2">
        <f t="shared" ref="J2:J13" si="3">ABS(I2)</f>
        <v>117.51933813393225</v>
      </c>
      <c r="K2">
        <f>SUMSQ($I$2:I2)/1</f>
        <v>13810.794835437504</v>
      </c>
      <c r="L2">
        <f>SUM($J$2:J2)/1</f>
        <v>117.51933813393225</v>
      </c>
      <c r="M2">
        <f t="shared" ref="M2:M13" si="4">100*(J2/C2)</f>
        <v>1.0001645798632532</v>
      </c>
      <c r="N2">
        <f>AVERAGE($M$2:M2)</f>
        <v>1.0001645798632532</v>
      </c>
      <c r="O2">
        <f>SUM($I$2:I2)/L2</f>
        <v>-1</v>
      </c>
    </row>
    <row r="3" spans="1:15" x14ac:dyDescent="0.25">
      <c r="B3">
        <v>2</v>
      </c>
      <c r="C3">
        <v>18500</v>
      </c>
      <c r="E3">
        <f t="shared" si="0"/>
        <v>16467</v>
      </c>
      <c r="F3">
        <f t="shared" si="1"/>
        <v>1.1234590392907027</v>
      </c>
      <c r="G3">
        <f>SUM(F3,F7,F11,)/3</f>
        <v>1.1060603093713042</v>
      </c>
      <c r="H3">
        <f>E3*G3</f>
        <v>18213.495114417266</v>
      </c>
      <c r="I3">
        <f t="shared" si="2"/>
        <v>-286.50488558273355</v>
      </c>
      <c r="J3">
        <f t="shared" si="3"/>
        <v>286.50488558273355</v>
      </c>
      <c r="K3">
        <f>SUMSQ($I$2:I3)/2</f>
        <v>47947.92214910638</v>
      </c>
      <c r="L3">
        <f>SUM($J$2:J3)/2</f>
        <v>202.0121118583329</v>
      </c>
      <c r="M3">
        <f t="shared" si="4"/>
        <v>1.5486750572039651</v>
      </c>
      <c r="N3">
        <f>AVERAGE($M$2:M3)</f>
        <v>1.2744198185336093</v>
      </c>
      <c r="O3">
        <f>SUM($I$2:I3)/L3</f>
        <v>-2</v>
      </c>
    </row>
    <row r="4" spans="1:15" x14ac:dyDescent="0.25">
      <c r="B4">
        <v>3</v>
      </c>
      <c r="C4">
        <v>22333.33</v>
      </c>
      <c r="D4">
        <f t="shared" ref="D4:D11" si="5">(C2+C6+2*SUM(C3:C5))/8</f>
        <v>16906.25</v>
      </c>
      <c r="E4">
        <f t="shared" si="0"/>
        <v>16913</v>
      </c>
      <c r="F4">
        <f t="shared" si="1"/>
        <v>1.3204830603677646</v>
      </c>
      <c r="G4">
        <f>SUM(F4,F8,F12,)/3</f>
        <v>1.3028202528340822</v>
      </c>
      <c r="H4">
        <f>E4*G4</f>
        <v>22034.598936182832</v>
      </c>
      <c r="I4">
        <f t="shared" si="2"/>
        <v>-298.73106381716934</v>
      </c>
      <c r="J4">
        <f t="shared" si="3"/>
        <v>298.73106381716934</v>
      </c>
      <c r="K4">
        <f>SUMSQ($I$2:I4)/3</f>
        <v>61712.030929183493</v>
      </c>
      <c r="L4">
        <f>SUM($J$2:J4)/3</f>
        <v>234.25176251127837</v>
      </c>
      <c r="M4">
        <f t="shared" si="4"/>
        <v>1.3376019779279191</v>
      </c>
      <c r="N4">
        <f>AVERAGE($M$2:M4)</f>
        <v>1.2954805383317127</v>
      </c>
      <c r="O4">
        <f>SUM($I$2:I4)/L4</f>
        <v>-3</v>
      </c>
    </row>
    <row r="5" spans="1:15" x14ac:dyDescent="0.25">
      <c r="B5">
        <v>4</v>
      </c>
      <c r="C5">
        <v>14416.67</v>
      </c>
      <c r="D5">
        <f t="shared" si="5"/>
        <v>17270.833749999998</v>
      </c>
      <c r="E5">
        <f t="shared" si="0"/>
        <v>17359</v>
      </c>
      <c r="F5">
        <f t="shared" si="1"/>
        <v>0.8305011809436027</v>
      </c>
      <c r="G5">
        <f>SUM(F5,F9,F13,)/3</f>
        <v>0.86777396714093913</v>
      </c>
      <c r="H5">
        <f>E5*G5</f>
        <v>15063.688295599562</v>
      </c>
      <c r="I5">
        <f t="shared" si="2"/>
        <v>647.01829559956241</v>
      </c>
      <c r="J5">
        <f t="shared" si="3"/>
        <v>647.01829559956241</v>
      </c>
      <c r="K5">
        <f>SUMSQ($I$2:I5)/4</f>
        <v>150942.19190702832</v>
      </c>
      <c r="L5">
        <f>SUM($J$2:J5)/4</f>
        <v>337.44339578334939</v>
      </c>
      <c r="M5">
        <f t="shared" si="4"/>
        <v>4.4879871398843312</v>
      </c>
      <c r="N5">
        <f>AVERAGE($M$2:M5)</f>
        <v>2.0936071887198673</v>
      </c>
      <c r="O5">
        <f>SUM($I$2:I5)/L5</f>
        <v>-0.16517434518131113</v>
      </c>
    </row>
    <row r="6" spans="1:15" x14ac:dyDescent="0.25">
      <c r="A6">
        <v>2</v>
      </c>
      <c r="B6">
        <v>5</v>
      </c>
      <c r="C6">
        <v>13000</v>
      </c>
      <c r="D6">
        <f t="shared" si="5"/>
        <v>17750.001250000001</v>
      </c>
      <c r="E6">
        <f t="shared" si="0"/>
        <v>17805</v>
      </c>
      <c r="F6">
        <f t="shared" si="1"/>
        <v>0.73013198539736024</v>
      </c>
      <c r="H6">
        <f>E6*G2</f>
        <v>12927.802146215925</v>
      </c>
      <c r="I6">
        <f t="shared" si="2"/>
        <v>-72.19785378407505</v>
      </c>
      <c r="J6">
        <f t="shared" si="3"/>
        <v>72.19785378407505</v>
      </c>
      <c r="K6">
        <f>SUMSQ($I$2:I6)/5</f>
        <v>121796.259543828</v>
      </c>
      <c r="L6">
        <f>SUM($J$2:J6)/5</f>
        <v>284.39428738349454</v>
      </c>
      <c r="M6">
        <f t="shared" si="4"/>
        <v>0.55536810603134656</v>
      </c>
      <c r="N6">
        <f>AVERAGE($M$2:M6)</f>
        <v>1.7859593721821632</v>
      </c>
      <c r="O6">
        <f>SUM($I$2:I6)/L6</f>
        <v>-0.44985026561322122</v>
      </c>
    </row>
    <row r="7" spans="1:15" x14ac:dyDescent="0.25">
      <c r="B7">
        <v>6</v>
      </c>
      <c r="C7">
        <v>20166.669999999998</v>
      </c>
      <c r="D7">
        <f t="shared" si="5"/>
        <v>18364.584999999999</v>
      </c>
      <c r="E7">
        <f t="shared" si="0"/>
        <v>18251</v>
      </c>
      <c r="F7">
        <f t="shared" si="1"/>
        <v>1.104962467809983</v>
      </c>
      <c r="H7">
        <f>E7*G3</f>
        <v>20186.706706335674</v>
      </c>
      <c r="I7">
        <f t="shared" si="2"/>
        <v>20.036706335675262</v>
      </c>
      <c r="J7">
        <f t="shared" si="3"/>
        <v>20.036706335675262</v>
      </c>
      <c r="K7">
        <f>SUMSQ($I$2:I7)/6</f>
        <v>101563.79455332033</v>
      </c>
      <c r="L7">
        <f>SUM($J$2:J7)/6</f>
        <v>240.33469054219131</v>
      </c>
      <c r="M7">
        <f t="shared" si="4"/>
        <v>9.935555218424888E-2</v>
      </c>
      <c r="N7">
        <f>AVERAGE($M$2:M7)</f>
        <v>1.5048587355158443</v>
      </c>
      <c r="O7">
        <f>SUM($I$2:I7)/L7</f>
        <v>-0.44894950096157987</v>
      </c>
    </row>
    <row r="8" spans="1:15" x14ac:dyDescent="0.25">
      <c r="B8">
        <v>7</v>
      </c>
      <c r="C8">
        <v>24500</v>
      </c>
      <c r="D8">
        <f t="shared" si="5"/>
        <v>18833.334999999999</v>
      </c>
      <c r="E8">
        <f t="shared" si="0"/>
        <v>18697</v>
      </c>
      <c r="F8">
        <f t="shared" si="1"/>
        <v>1.3103706476974917</v>
      </c>
      <c r="H8">
        <f>E8*G4</f>
        <v>24358.830267238834</v>
      </c>
      <c r="I8">
        <f t="shared" si="2"/>
        <v>-141.16973276116551</v>
      </c>
      <c r="J8">
        <f t="shared" si="3"/>
        <v>141.16973276116551</v>
      </c>
      <c r="K8">
        <f>SUMSQ($I$2:I8)/7</f>
        <v>89901.665823968695</v>
      </c>
      <c r="L8">
        <f>SUM($J$2:J8)/7</f>
        <v>226.16826800204475</v>
      </c>
      <c r="M8">
        <f t="shared" si="4"/>
        <v>0.57620299086190008</v>
      </c>
      <c r="N8">
        <f>AVERAGE($M$2:M8)</f>
        <v>1.3721936291367094</v>
      </c>
      <c r="O8">
        <f>SUM($I$2:I8)/L8</f>
        <v>-1.1012502962687332</v>
      </c>
    </row>
    <row r="9" spans="1:15" x14ac:dyDescent="0.25">
      <c r="B9">
        <v>8</v>
      </c>
      <c r="C9">
        <v>17166.669999999998</v>
      </c>
      <c r="D9">
        <f t="shared" si="5"/>
        <v>19166.6675</v>
      </c>
      <c r="E9">
        <f t="shared" si="0"/>
        <v>19143</v>
      </c>
      <c r="F9">
        <f t="shared" si="1"/>
        <v>0.8967596510473802</v>
      </c>
      <c r="H9">
        <f>E9*G5</f>
        <v>16611.797052978996</v>
      </c>
      <c r="I9">
        <f t="shared" si="2"/>
        <v>-554.87294702100189</v>
      </c>
      <c r="J9">
        <f t="shared" si="3"/>
        <v>554.87294702100189</v>
      </c>
      <c r="K9">
        <f>SUMSQ($I$2:I9)/8</f>
        <v>117149.45601294405</v>
      </c>
      <c r="L9">
        <f>SUM($J$2:J9)/8</f>
        <v>267.25635287941441</v>
      </c>
      <c r="M9">
        <f t="shared" si="4"/>
        <v>3.232268966672057</v>
      </c>
      <c r="N9">
        <f>AVERAGE($M$2:M9)</f>
        <v>1.6047030463286278</v>
      </c>
      <c r="O9">
        <f>SUM($I$2:I9)/L9</f>
        <v>-3.0081261324686888</v>
      </c>
    </row>
    <row r="10" spans="1:15" x14ac:dyDescent="0.25">
      <c r="A10">
        <v>3</v>
      </c>
      <c r="B10">
        <v>9</v>
      </c>
      <c r="C10">
        <v>14000</v>
      </c>
      <c r="D10">
        <f t="shared" si="5"/>
        <v>19583.333749999998</v>
      </c>
      <c r="E10">
        <f t="shared" si="0"/>
        <v>19589</v>
      </c>
      <c r="F10">
        <f t="shared" si="1"/>
        <v>0.71468681402828116</v>
      </c>
      <c r="H10">
        <f>E10*G2</f>
        <v>14223.123630565782</v>
      </c>
      <c r="I10">
        <f t="shared" si="2"/>
        <v>223.12363056578215</v>
      </c>
      <c r="J10">
        <f t="shared" si="3"/>
        <v>223.12363056578215</v>
      </c>
      <c r="K10">
        <f>SUMSQ($I$2:I10)/9</f>
        <v>109664.42251337867</v>
      </c>
      <c r="L10">
        <f>SUM($J$2:J10)/9</f>
        <v>262.35271706678861</v>
      </c>
      <c r="M10">
        <f t="shared" si="4"/>
        <v>1.5937402183270153</v>
      </c>
      <c r="N10">
        <f>AVERAGE($M$2:M10)</f>
        <v>1.6034849543284486</v>
      </c>
      <c r="O10">
        <f>SUM($I$2:I10)/L10</f>
        <v>-2.2138790674357525</v>
      </c>
    </row>
    <row r="11" spans="1:15" x14ac:dyDescent="0.25">
      <c r="B11">
        <v>10</v>
      </c>
      <c r="C11">
        <v>21833.33</v>
      </c>
      <c r="D11">
        <f t="shared" si="5"/>
        <v>19937.5</v>
      </c>
      <c r="E11">
        <f t="shared" si="0"/>
        <v>20035</v>
      </c>
      <c r="F11">
        <f t="shared" si="1"/>
        <v>1.0897594210132269</v>
      </c>
      <c r="H11">
        <f>E11*G3</f>
        <v>22159.918298254081</v>
      </c>
      <c r="I11">
        <f t="shared" si="2"/>
        <v>326.58829825407884</v>
      </c>
      <c r="J11">
        <f t="shared" si="3"/>
        <v>326.58829825407884</v>
      </c>
      <c r="K11">
        <f>SUMSQ($I$2:I11)/10</f>
        <v>109363.97191769032</v>
      </c>
      <c r="L11">
        <f>SUM($J$2:J11)/10</f>
        <v>268.77627518551765</v>
      </c>
      <c r="M11">
        <f t="shared" si="4"/>
        <v>1.4958244951827266</v>
      </c>
      <c r="N11">
        <f>AVERAGE($M$2:M11)</f>
        <v>1.5927189084138764</v>
      </c>
      <c r="O11">
        <f>SUM($I$2:I11)/L11</f>
        <v>-0.94587548759466344</v>
      </c>
    </row>
    <row r="12" spans="1:15" x14ac:dyDescent="0.25">
      <c r="B12">
        <v>11</v>
      </c>
      <c r="C12">
        <v>26166.67</v>
      </c>
      <c r="E12">
        <f t="shared" si="0"/>
        <v>20481</v>
      </c>
      <c r="F12">
        <f t="shared" si="1"/>
        <v>1.2776070504369903</v>
      </c>
      <c r="H12">
        <f>E12*G4</f>
        <v>26683.061598294837</v>
      </c>
      <c r="I12">
        <f t="shared" si="2"/>
        <v>516.39159829483833</v>
      </c>
      <c r="J12">
        <f t="shared" si="3"/>
        <v>516.39159829483833</v>
      </c>
      <c r="K12">
        <f>SUMSQ($I$2:I12)/11</f>
        <v>123663.63654240007</v>
      </c>
      <c r="L12">
        <f>SUM($J$2:J12)/11</f>
        <v>291.28675910454677</v>
      </c>
      <c r="M12">
        <f t="shared" si="4"/>
        <v>1.9734708248884494</v>
      </c>
      <c r="N12">
        <f>AVERAGE($M$2:M12)</f>
        <v>1.6273327190024738</v>
      </c>
      <c r="O12">
        <f>SUM($I$2:I12)/L12</f>
        <v>0.90001587698590046</v>
      </c>
    </row>
    <row r="13" spans="1:15" x14ac:dyDescent="0.25">
      <c r="B13">
        <v>12</v>
      </c>
      <c r="C13">
        <v>18333.330000000002</v>
      </c>
      <c r="E13">
        <f t="shared" si="0"/>
        <v>20927</v>
      </c>
      <c r="F13">
        <f t="shared" si="1"/>
        <v>0.87606106943183459</v>
      </c>
      <c r="H13">
        <f>E13*G5</f>
        <v>18159.905810358432</v>
      </c>
      <c r="I13">
        <f t="shared" si="2"/>
        <v>-173.42418964156968</v>
      </c>
      <c r="J13">
        <f t="shared" si="3"/>
        <v>173.42418964156968</v>
      </c>
      <c r="K13">
        <f>SUMSQ($I$2:I13)/12</f>
        <v>115864.66262660299</v>
      </c>
      <c r="L13">
        <f>SUM($J$2:J13)/12</f>
        <v>281.46487831596534</v>
      </c>
      <c r="M13">
        <f t="shared" si="4"/>
        <v>0.9459502973086158</v>
      </c>
      <c r="N13">
        <f>AVERAGE($M$2:M13)</f>
        <v>1.5705508505279857</v>
      </c>
      <c r="O13">
        <f>SUM($I$2:I13)/L13</f>
        <v>0.31527385881756126</v>
      </c>
    </row>
    <row r="14" spans="1:15" x14ac:dyDescent="0.25">
      <c r="B14" s="1">
        <f>13</f>
        <v>13</v>
      </c>
      <c r="H14" s="1">
        <f>(15575+13*446)*G2</f>
        <v>15518.445114915639</v>
      </c>
    </row>
    <row r="15" spans="1:15" x14ac:dyDescent="0.25">
      <c r="B15" s="1">
        <f>14</f>
        <v>14</v>
      </c>
      <c r="H15" s="1">
        <f>(15575+14*446)*G3</f>
        <v>24133.129890172484</v>
      </c>
    </row>
    <row r="16" spans="1:15" x14ac:dyDescent="0.25">
      <c r="B16" s="1">
        <f>15</f>
        <v>15</v>
      </c>
      <c r="H16" s="1">
        <f>(15575+15*446)*G4</f>
        <v>29007.292929350839</v>
      </c>
    </row>
    <row r="17" spans="2:8" x14ac:dyDescent="0.25">
      <c r="B17" s="1">
        <f>16</f>
        <v>16</v>
      </c>
      <c r="H17" s="1">
        <f>(15575+16*446)*G5</f>
        <v>19708.014567737868</v>
      </c>
    </row>
    <row r="18" spans="2:8" x14ac:dyDescent="0.25">
      <c r="B18" s="1"/>
      <c r="H18" s="1"/>
    </row>
    <row r="19" spans="2:8" x14ac:dyDescent="0.25">
      <c r="B19" s="1"/>
      <c r="H19" s="1"/>
    </row>
    <row r="20" spans="2:8" x14ac:dyDescent="0.25">
      <c r="B20" s="1"/>
      <c r="H20" s="1"/>
    </row>
    <row r="21" spans="2:8" x14ac:dyDescent="0.25">
      <c r="B21" s="1"/>
      <c r="H21" s="1"/>
    </row>
    <row r="22" spans="2:8" x14ac:dyDescent="0.25">
      <c r="B22" s="2"/>
      <c r="H22" s="2"/>
    </row>
    <row r="23" spans="2:8" x14ac:dyDescent="0.25">
      <c r="B23" s="2"/>
      <c r="H23" s="2"/>
    </row>
    <row r="24" spans="2:8" x14ac:dyDescent="0.25">
      <c r="B24" s="2"/>
      <c r="H24" s="2"/>
    </row>
    <row r="25" spans="2:8" x14ac:dyDescent="0.25">
      <c r="B25" s="2"/>
      <c r="H25" s="2"/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>
      <selection activeCell="E33" sqref="E33"/>
    </sheetView>
  </sheetViews>
  <sheetFormatPr defaultRowHeight="15" x14ac:dyDescent="0.25"/>
  <cols>
    <col min="3" max="3" width="31.14062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>
        <v>11750</v>
      </c>
    </row>
    <row r="3" spans="1:11" x14ac:dyDescent="0.25">
      <c r="A3">
        <v>2</v>
      </c>
      <c r="B3">
        <v>18500</v>
      </c>
    </row>
    <row r="4" spans="1:11" x14ac:dyDescent="0.25">
      <c r="A4">
        <v>3</v>
      </c>
      <c r="B4">
        <v>22333.33</v>
      </c>
    </row>
    <row r="5" spans="1:11" x14ac:dyDescent="0.25">
      <c r="A5">
        <v>4</v>
      </c>
      <c r="B5">
        <v>14416.67</v>
      </c>
      <c r="C5">
        <f t="shared" ref="C5:C13" si="0">AVERAGE(B2:B5)</f>
        <v>16750</v>
      </c>
    </row>
    <row r="6" spans="1:11" x14ac:dyDescent="0.25">
      <c r="A6">
        <v>5</v>
      </c>
      <c r="B6">
        <v>13000</v>
      </c>
      <c r="C6">
        <f t="shared" si="0"/>
        <v>17062.5</v>
      </c>
      <c r="D6">
        <f t="shared" ref="D6:D14" si="1">C5</f>
        <v>16750</v>
      </c>
      <c r="E6">
        <f t="shared" ref="E6:E13" si="2">D6-B6</f>
        <v>3750</v>
      </c>
      <c r="F6">
        <f t="shared" ref="F6:F13" si="3">ABS(E6)</f>
        <v>3750</v>
      </c>
      <c r="G6">
        <f>SUMSQ($E$6:E6)/1</f>
        <v>14062500</v>
      </c>
      <c r="H6">
        <f>SUM($F$6:F6)/1</f>
        <v>3750</v>
      </c>
      <c r="I6">
        <f t="shared" ref="I6:I13" si="4">100*(F6/B6)</f>
        <v>28.846153846153843</v>
      </c>
      <c r="J6">
        <f>AVERAGE($I$6:I6)</f>
        <v>28.846153846153843</v>
      </c>
      <c r="K6">
        <f>SUM($E$6:E6)/H6</f>
        <v>1</v>
      </c>
    </row>
    <row r="7" spans="1:11" x14ac:dyDescent="0.25">
      <c r="A7">
        <v>6</v>
      </c>
      <c r="B7">
        <v>20166.669999999998</v>
      </c>
      <c r="C7">
        <f t="shared" si="0"/>
        <v>17479.1675</v>
      </c>
      <c r="D7">
        <f t="shared" si="1"/>
        <v>17062.5</v>
      </c>
      <c r="E7">
        <f t="shared" si="2"/>
        <v>-3104.1699999999983</v>
      </c>
      <c r="F7">
        <f t="shared" si="3"/>
        <v>3104.1699999999983</v>
      </c>
      <c r="G7">
        <f>SUMSQ($E$6:E7)/2</f>
        <v>11849185.694449995</v>
      </c>
      <c r="H7">
        <f>SUM($F$6:F7)/2</f>
        <v>3427.0849999999991</v>
      </c>
      <c r="I7">
        <f t="shared" si="4"/>
        <v>15.392575968169254</v>
      </c>
      <c r="J7">
        <f>AVERAGE($I$6:I7)</f>
        <v>22.119364907161547</v>
      </c>
      <c r="K7">
        <f>SUM($E$6:E7)/H7</f>
        <v>0.18844878373311486</v>
      </c>
    </row>
    <row r="8" spans="1:11" x14ac:dyDescent="0.25">
      <c r="A8">
        <v>7</v>
      </c>
      <c r="B8">
        <v>24500</v>
      </c>
      <c r="C8">
        <f t="shared" si="0"/>
        <v>18020.834999999999</v>
      </c>
      <c r="D8">
        <f t="shared" si="1"/>
        <v>17479.1675</v>
      </c>
      <c r="E8">
        <f t="shared" si="2"/>
        <v>-7020.8325000000004</v>
      </c>
      <c r="F8">
        <f t="shared" si="3"/>
        <v>7020.8325000000004</v>
      </c>
      <c r="G8">
        <f>SUMSQ($E$6:E8)/3</f>
        <v>24330153.460652083</v>
      </c>
      <c r="H8">
        <f>SUM($F$6:F8)/3</f>
        <v>4625.0008333333326</v>
      </c>
      <c r="I8">
        <f t="shared" si="4"/>
        <v>28.656459183673473</v>
      </c>
      <c r="J8">
        <f>AVERAGE($I$6:I8)</f>
        <v>24.298396332665522</v>
      </c>
      <c r="K8">
        <f>SUM($E$6:E8)/H8</f>
        <v>-1.3783786705624017</v>
      </c>
    </row>
    <row r="9" spans="1:11" x14ac:dyDescent="0.25">
      <c r="A9">
        <v>8</v>
      </c>
      <c r="B9">
        <v>17166.669999999998</v>
      </c>
      <c r="C9">
        <f t="shared" si="0"/>
        <v>18708.334999999999</v>
      </c>
      <c r="D9">
        <f t="shared" si="1"/>
        <v>18020.834999999999</v>
      </c>
      <c r="E9">
        <f t="shared" si="2"/>
        <v>854.16500000000087</v>
      </c>
      <c r="F9">
        <f t="shared" si="3"/>
        <v>854.16500000000087</v>
      </c>
      <c r="G9">
        <f>SUMSQ($E$6:E9)/4</f>
        <v>18430014.557295311</v>
      </c>
      <c r="H9">
        <f>SUM($F$6:F9)/4</f>
        <v>3682.2918749999999</v>
      </c>
      <c r="I9">
        <f t="shared" si="4"/>
        <v>4.9757174804432136</v>
      </c>
      <c r="J9">
        <f>AVERAGE($I$6:I9)</f>
        <v>19.467726619609945</v>
      </c>
      <c r="K9">
        <f>SUM($E$6:E9)/H9</f>
        <v>-1.4992938331375478</v>
      </c>
    </row>
    <row r="10" spans="1:11" x14ac:dyDescent="0.25">
      <c r="A10">
        <v>9</v>
      </c>
      <c r="B10">
        <v>14000</v>
      </c>
      <c r="C10">
        <f t="shared" si="0"/>
        <v>18958.334999999999</v>
      </c>
      <c r="D10">
        <f t="shared" si="1"/>
        <v>18708.334999999999</v>
      </c>
      <c r="E10">
        <f t="shared" si="2"/>
        <v>4708.3349999999991</v>
      </c>
      <c r="F10">
        <f t="shared" si="3"/>
        <v>4708.3349999999991</v>
      </c>
      <c r="G10">
        <f>SUMSQ($E$6:E10)/5</f>
        <v>19177695.340281248</v>
      </c>
      <c r="H10">
        <f>SUM($F$6:F10)/5</f>
        <v>3887.5004999999996</v>
      </c>
      <c r="I10">
        <f t="shared" si="4"/>
        <v>33.630964285714285</v>
      </c>
      <c r="J10">
        <f>AVERAGE($I$6:I10)</f>
        <v>22.300374152830813</v>
      </c>
      <c r="K10">
        <f>SUM($E$6:E10)/H10</f>
        <v>-0.20900383163937825</v>
      </c>
    </row>
    <row r="11" spans="1:11" x14ac:dyDescent="0.25">
      <c r="A11">
        <v>10</v>
      </c>
      <c r="B11">
        <v>21833.33</v>
      </c>
      <c r="C11">
        <f t="shared" si="0"/>
        <v>19375</v>
      </c>
      <c r="D11">
        <f t="shared" si="1"/>
        <v>18958.334999999999</v>
      </c>
      <c r="E11">
        <f t="shared" si="2"/>
        <v>-2874.9950000000026</v>
      </c>
      <c r="F11">
        <f t="shared" si="3"/>
        <v>2874.9950000000026</v>
      </c>
      <c r="G11">
        <f>SUMSQ($E$6:E11)/6</f>
        <v>17359012.158571877</v>
      </c>
      <c r="H11">
        <f>SUM($F$6:F11)/6</f>
        <v>3718.7495833333337</v>
      </c>
      <c r="I11">
        <f t="shared" si="4"/>
        <v>13.167918040903528</v>
      </c>
      <c r="J11">
        <f>AVERAGE($I$6:I11)</f>
        <v>20.778298134176264</v>
      </c>
      <c r="K11">
        <f>SUM($E$6:E11)/H11</f>
        <v>-0.99159607748975687</v>
      </c>
    </row>
    <row r="12" spans="1:11" x14ac:dyDescent="0.25">
      <c r="A12">
        <v>11</v>
      </c>
      <c r="B12">
        <v>26166.67</v>
      </c>
      <c r="C12">
        <f t="shared" si="0"/>
        <v>19791.6675</v>
      </c>
      <c r="D12">
        <f t="shared" si="1"/>
        <v>19375</v>
      </c>
      <c r="E12">
        <f t="shared" si="2"/>
        <v>-6791.6699999999983</v>
      </c>
      <c r="F12">
        <f t="shared" si="3"/>
        <v>6791.6699999999983</v>
      </c>
      <c r="G12">
        <f>SUMSQ($E$6:E12)/7</f>
        <v>21468693.477190174</v>
      </c>
      <c r="H12">
        <f>SUM($F$6:F12)/7</f>
        <v>4157.7382142857141</v>
      </c>
      <c r="I12">
        <f t="shared" si="4"/>
        <v>25.955423445168986</v>
      </c>
      <c r="J12">
        <f>AVERAGE($I$6:I12)</f>
        <v>21.517887464318083</v>
      </c>
      <c r="K12">
        <f>SUM($E$6:E12)/H12</f>
        <v>-2.5204009872469295</v>
      </c>
    </row>
    <row r="13" spans="1:11" x14ac:dyDescent="0.25">
      <c r="A13">
        <v>12</v>
      </c>
      <c r="B13">
        <v>18333.330000000002</v>
      </c>
      <c r="C13">
        <f t="shared" si="0"/>
        <v>20083.3325</v>
      </c>
      <c r="D13">
        <f t="shared" si="1"/>
        <v>19791.6675</v>
      </c>
      <c r="E13">
        <f t="shared" si="2"/>
        <v>1458.3374999999978</v>
      </c>
      <c r="F13">
        <f t="shared" si="3"/>
        <v>1458.3374999999978</v>
      </c>
      <c r="G13">
        <f>SUMSQ($E$6:E13)/8</f>
        <v>19050950.325529683</v>
      </c>
      <c r="H13">
        <f>SUM($F$6:F13)/8</f>
        <v>3820.3131249999997</v>
      </c>
      <c r="I13">
        <f t="shared" si="4"/>
        <v>7.9545696281035552</v>
      </c>
      <c r="J13">
        <f>AVERAGE($I$6:I13)</f>
        <v>19.822472734791265</v>
      </c>
      <c r="K13">
        <f>SUM($E$6:E13)/H13</f>
        <v>-2.3612802680932083</v>
      </c>
    </row>
    <row r="14" spans="1:11" x14ac:dyDescent="0.25">
      <c r="A14" s="1">
        <v>13</v>
      </c>
      <c r="D14" s="1">
        <f t="shared" si="1"/>
        <v>20083.3325</v>
      </c>
    </row>
    <row r="15" spans="1:11" x14ac:dyDescent="0.25">
      <c r="A15" s="1">
        <f>14</f>
        <v>14</v>
      </c>
      <c r="D15" s="1">
        <f>C13</f>
        <v>20083.3325</v>
      </c>
    </row>
    <row r="16" spans="1:11" x14ac:dyDescent="0.25">
      <c r="A16" s="1">
        <f>15</f>
        <v>15</v>
      </c>
      <c r="D16" s="1">
        <f>C13</f>
        <v>20083.3325</v>
      </c>
    </row>
    <row r="17" spans="1:4" x14ac:dyDescent="0.25">
      <c r="A17" s="1">
        <f>16</f>
        <v>16</v>
      </c>
      <c r="D17" s="1">
        <f>C13</f>
        <v>20083.3325</v>
      </c>
    </row>
    <row r="18" spans="1:4" x14ac:dyDescent="0.25">
      <c r="A18" s="2"/>
      <c r="B18" s="2"/>
      <c r="C18" s="2"/>
      <c r="D18" s="2"/>
    </row>
    <row r="19" spans="1:4" x14ac:dyDescent="0.25">
      <c r="A19" s="2"/>
      <c r="B19" s="2"/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workbookViewId="0">
      <selection activeCell="D22" sqref="A19:D22"/>
    </sheetView>
  </sheetViews>
  <sheetFormatPr defaultRowHeight="15" x14ac:dyDescent="0.25"/>
  <cols>
    <col min="3" max="3" width="12.710937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0</v>
      </c>
      <c r="C2">
        <f>SUM(B3:B14)/12</f>
        <v>18513.889166666664</v>
      </c>
    </row>
    <row r="3" spans="1:11" x14ac:dyDescent="0.25">
      <c r="A3">
        <v>1</v>
      </c>
      <c r="B3">
        <v>11750</v>
      </c>
      <c r="C3">
        <f t="shared" ref="C3:C14" si="0">0.1*B3+(1-0.1)*C2</f>
        <v>17837.500249999997</v>
      </c>
      <c r="D3">
        <f t="shared" ref="D3:D15" si="1">C2</f>
        <v>18513.889166666664</v>
      </c>
      <c r="E3">
        <f t="shared" ref="E3:E14" si="2">D3-B3</f>
        <v>6763.8891666666641</v>
      </c>
      <c r="F3">
        <f t="shared" ref="F3:F14" si="3">ABS(E3)</f>
        <v>6763.8891666666641</v>
      </c>
      <c r="G3">
        <f>SUMSQ($E$3:E3)/1</f>
        <v>45750196.658950657</v>
      </c>
      <c r="H3">
        <f>SUM($F$3:F3)/1</f>
        <v>6763.8891666666641</v>
      </c>
      <c r="I3">
        <f t="shared" ref="I3:I14" si="4">100*(F3/B3)</f>
        <v>57.565014184397143</v>
      </c>
      <c r="J3">
        <f>AVERAGE($I$3:I3)</f>
        <v>57.565014184397143</v>
      </c>
      <c r="K3">
        <f>SUM($E$3:E3)/H3</f>
        <v>1</v>
      </c>
    </row>
    <row r="4" spans="1:11" x14ac:dyDescent="0.25">
      <c r="A4">
        <v>2</v>
      </c>
      <c r="B4">
        <v>18500</v>
      </c>
      <c r="C4">
        <f t="shared" si="0"/>
        <v>17903.750224999996</v>
      </c>
      <c r="D4">
        <f t="shared" si="1"/>
        <v>17837.500249999997</v>
      </c>
      <c r="E4">
        <f t="shared" si="2"/>
        <v>-662.49975000000268</v>
      </c>
      <c r="F4">
        <f t="shared" si="3"/>
        <v>662.49975000000268</v>
      </c>
      <c r="G4">
        <f>SUMSQ($E$3:E4)/2</f>
        <v>23094551.28885036</v>
      </c>
      <c r="H4">
        <f>SUM($F$3:F4)/2</f>
        <v>3713.1944583333334</v>
      </c>
      <c r="I4">
        <f t="shared" si="4"/>
        <v>3.5810797297297441</v>
      </c>
      <c r="J4">
        <f>AVERAGE($I$3:I4)</f>
        <v>30.573046957063443</v>
      </c>
      <c r="K4">
        <f>SUM($E$3:E4)/H4</f>
        <v>1.6431645272370865</v>
      </c>
    </row>
    <row r="5" spans="1:11" x14ac:dyDescent="0.25">
      <c r="A5">
        <v>3</v>
      </c>
      <c r="B5">
        <v>22333.33</v>
      </c>
      <c r="C5">
        <f t="shared" si="0"/>
        <v>18346.708202499998</v>
      </c>
      <c r="D5">
        <f t="shared" si="1"/>
        <v>17903.750224999996</v>
      </c>
      <c r="E5">
        <f t="shared" si="2"/>
        <v>-4429.5797750000056</v>
      </c>
      <c r="F5">
        <f t="shared" si="3"/>
        <v>4429.5797750000056</v>
      </c>
      <c r="G5">
        <f>SUMSQ($E$3:E5)/3</f>
        <v>21936759.853596609</v>
      </c>
      <c r="H5">
        <f>SUM($F$3:F5)/3</f>
        <v>3951.9895638888906</v>
      </c>
      <c r="I5">
        <f t="shared" si="4"/>
        <v>19.833942251334687</v>
      </c>
      <c r="J5">
        <f>AVERAGE($I$3:I5)</f>
        <v>26.993345388487189</v>
      </c>
      <c r="K5">
        <f>SUM($E$3:E5)/H5</f>
        <v>0.42302987258436453</v>
      </c>
    </row>
    <row r="6" spans="1:11" x14ac:dyDescent="0.25">
      <c r="A6">
        <v>4</v>
      </c>
      <c r="B6">
        <v>14416.67</v>
      </c>
      <c r="C6">
        <f t="shared" si="0"/>
        <v>17953.704382250002</v>
      </c>
      <c r="D6">
        <f t="shared" si="1"/>
        <v>18346.708202499998</v>
      </c>
      <c r="E6">
        <f t="shared" si="2"/>
        <v>3930.0382024999981</v>
      </c>
      <c r="F6">
        <f t="shared" si="3"/>
        <v>3930.0382024999981</v>
      </c>
      <c r="G6">
        <f>SUMSQ($E$3:E6)/4</f>
        <v>20313869.958474811</v>
      </c>
      <c r="H6">
        <f>SUM($F$3:F6)/4</f>
        <v>3946.5017235416676</v>
      </c>
      <c r="I6">
        <f t="shared" si="4"/>
        <v>27.260374292398993</v>
      </c>
      <c r="J6">
        <f>AVERAGE($I$3:I6)</f>
        <v>27.060102614465141</v>
      </c>
      <c r="K6">
        <f>SUM($E$3:E6)/H6</f>
        <v>1.4194464456332345</v>
      </c>
    </row>
    <row r="7" spans="1:11" x14ac:dyDescent="0.25">
      <c r="A7">
        <v>5</v>
      </c>
      <c r="B7">
        <v>13000</v>
      </c>
      <c r="C7">
        <f t="shared" si="0"/>
        <v>17458.333944025002</v>
      </c>
      <c r="D7">
        <f t="shared" si="1"/>
        <v>17953.704382250002</v>
      </c>
      <c r="E7">
        <f t="shared" si="2"/>
        <v>4953.7043822500018</v>
      </c>
      <c r="F7">
        <f t="shared" si="3"/>
        <v>4953.7043822500018</v>
      </c>
      <c r="G7">
        <f>SUMSQ($E$3:E7)/5</f>
        <v>21158933.388124425</v>
      </c>
      <c r="H7">
        <f>SUM($F$3:F7)/5</f>
        <v>4147.9422552833348</v>
      </c>
      <c r="I7">
        <f t="shared" si="4"/>
        <v>38.105418325000009</v>
      </c>
      <c r="J7">
        <f>AVERAGE($I$3:I7)</f>
        <v>29.269165756572114</v>
      </c>
      <c r="K7">
        <f>SUM($E$3:E7)/H7</f>
        <v>2.5447683638729042</v>
      </c>
    </row>
    <row r="8" spans="1:11" x14ac:dyDescent="0.25">
      <c r="A8">
        <v>6</v>
      </c>
      <c r="B8">
        <v>20166.669999999998</v>
      </c>
      <c r="C8">
        <f t="shared" si="0"/>
        <v>17729.167549622503</v>
      </c>
      <c r="D8">
        <f t="shared" si="1"/>
        <v>17458.333944025002</v>
      </c>
      <c r="E8">
        <f t="shared" si="2"/>
        <v>-2708.3360559749963</v>
      </c>
      <c r="F8">
        <f t="shared" si="3"/>
        <v>2708.3360559749963</v>
      </c>
      <c r="G8">
        <f>SUMSQ($E$3:E8)/6</f>
        <v>18854958.522119384</v>
      </c>
      <c r="H8">
        <f>SUM($F$3:F8)/6</f>
        <v>3908.0078887319451</v>
      </c>
      <c r="I8">
        <f t="shared" si="4"/>
        <v>13.429763347022568</v>
      </c>
      <c r="J8">
        <f>AVERAGE($I$3:I8)</f>
        <v>26.629265354980522</v>
      </c>
      <c r="K8">
        <f>SUM($E$3:E8)/H8</f>
        <v>2.0079837077780036</v>
      </c>
    </row>
    <row r="9" spans="1:11" x14ac:dyDescent="0.25">
      <c r="A9">
        <v>7</v>
      </c>
      <c r="B9">
        <v>24500</v>
      </c>
      <c r="C9">
        <f t="shared" si="0"/>
        <v>18406.250794660253</v>
      </c>
      <c r="D9">
        <f t="shared" si="1"/>
        <v>17729.167549622503</v>
      </c>
      <c r="E9">
        <f t="shared" si="2"/>
        <v>-6770.8324503774966</v>
      </c>
      <c r="F9">
        <f t="shared" si="3"/>
        <v>6770.8324503774966</v>
      </c>
      <c r="G9">
        <f>SUMSQ($E$3:E9)/7</f>
        <v>22710560.457685892</v>
      </c>
      <c r="H9">
        <f>SUM($F$3:F9)/7</f>
        <v>4316.982826109881</v>
      </c>
      <c r="I9">
        <f t="shared" si="4"/>
        <v>27.636050817867329</v>
      </c>
      <c r="J9">
        <f>AVERAGE($I$3:I9)</f>
        <v>26.773091849678639</v>
      </c>
      <c r="K9">
        <f>SUM($E$3:E9)/H9</f>
        <v>0.24933704010912491</v>
      </c>
    </row>
    <row r="10" spans="1:11" x14ac:dyDescent="0.25">
      <c r="A10">
        <v>8</v>
      </c>
      <c r="B10">
        <v>17166.669999999998</v>
      </c>
      <c r="C10">
        <f t="shared" si="0"/>
        <v>18282.292715194228</v>
      </c>
      <c r="D10">
        <f t="shared" si="1"/>
        <v>18406.250794660253</v>
      </c>
      <c r="E10">
        <f t="shared" si="2"/>
        <v>1239.5807946602545</v>
      </c>
      <c r="F10">
        <f t="shared" si="3"/>
        <v>1239.5807946602545</v>
      </c>
      <c r="G10">
        <f>SUMSQ($E$3:E10)/8</f>
        <v>20063810.468786474</v>
      </c>
      <c r="H10">
        <f>SUM($F$3:F10)/8</f>
        <v>3932.3075721786777</v>
      </c>
      <c r="I10">
        <f t="shared" si="4"/>
        <v>7.2208575959126291</v>
      </c>
      <c r="J10">
        <f>AVERAGE($I$3:I10)</f>
        <v>24.329062567957887</v>
      </c>
      <c r="K10">
        <f>SUM($E$3:E10)/H10</f>
        <v>0.58895813010915299</v>
      </c>
    </row>
    <row r="11" spans="1:11" x14ac:dyDescent="0.25">
      <c r="A11">
        <v>9</v>
      </c>
      <c r="B11">
        <v>14000</v>
      </c>
      <c r="C11">
        <f t="shared" si="0"/>
        <v>17854.063443674804</v>
      </c>
      <c r="D11">
        <f t="shared" si="1"/>
        <v>18282.292715194228</v>
      </c>
      <c r="E11">
        <f t="shared" si="2"/>
        <v>4282.2927151942276</v>
      </c>
      <c r="F11">
        <f t="shared" si="3"/>
        <v>4282.2927151942276</v>
      </c>
      <c r="G11">
        <f>SUMSQ($E$3:E11)/9</f>
        <v>19872057.183210816</v>
      </c>
      <c r="H11">
        <f>SUM($F$3:F11)/9</f>
        <v>3971.1948102915162</v>
      </c>
      <c r="I11">
        <f t="shared" si="4"/>
        <v>30.587805108530198</v>
      </c>
      <c r="J11">
        <f>AVERAGE($I$3:I11)</f>
        <v>25.024478405799258</v>
      </c>
      <c r="K11">
        <f>SUM($E$3:E11)/H11</f>
        <v>1.6615294754160606</v>
      </c>
    </row>
    <row r="12" spans="1:11" x14ac:dyDescent="0.25">
      <c r="A12">
        <v>10</v>
      </c>
      <c r="B12">
        <v>21833.33</v>
      </c>
      <c r="C12">
        <f t="shared" si="0"/>
        <v>18251.990099307324</v>
      </c>
      <c r="D12">
        <f t="shared" si="1"/>
        <v>17854.063443674804</v>
      </c>
      <c r="E12">
        <f t="shared" si="2"/>
        <v>-3979.2665563251976</v>
      </c>
      <c r="F12">
        <f t="shared" si="3"/>
        <v>3979.2665563251976</v>
      </c>
      <c r="G12">
        <f>SUMSQ($E$3:E12)/10</f>
        <v>19468307.697518554</v>
      </c>
      <c r="H12">
        <f>SUM($F$3:F12)/10</f>
        <v>3972.0019848948841</v>
      </c>
      <c r="I12">
        <f t="shared" si="4"/>
        <v>18.225651132123215</v>
      </c>
      <c r="J12">
        <f>AVERAGE($I$3:I12)</f>
        <v>24.344595678431652</v>
      </c>
      <c r="K12">
        <f>SUM($E$3:E12)/H12</f>
        <v>0.65936288137649479</v>
      </c>
    </row>
    <row r="13" spans="1:11" x14ac:dyDescent="0.25">
      <c r="A13">
        <v>11</v>
      </c>
      <c r="B13">
        <v>26166.67</v>
      </c>
      <c r="C13">
        <f t="shared" si="0"/>
        <v>19043.458089376592</v>
      </c>
      <c r="D13">
        <f t="shared" si="1"/>
        <v>18251.990099307324</v>
      </c>
      <c r="E13">
        <f t="shared" si="2"/>
        <v>-7914.679900692674</v>
      </c>
      <c r="F13">
        <f t="shared" si="3"/>
        <v>7914.679900692674</v>
      </c>
      <c r="G13">
        <f>SUMSQ($E$3:E13)/11</f>
        <v>23393203.173237648</v>
      </c>
      <c r="H13">
        <f>SUM($F$3:F13)/11</f>
        <v>4330.4272499674107</v>
      </c>
      <c r="I13">
        <f t="shared" si="4"/>
        <v>30.247180480713343</v>
      </c>
      <c r="J13">
        <f>AVERAGE($I$3:I13)</f>
        <v>24.881194296820897</v>
      </c>
      <c r="K13">
        <f>SUM($E$3:E13)/H13</f>
        <v>-1.2229022499198157</v>
      </c>
    </row>
    <row r="14" spans="1:11" x14ac:dyDescent="0.25">
      <c r="A14">
        <v>12</v>
      </c>
      <c r="B14">
        <v>18333.330000000002</v>
      </c>
      <c r="C14">
        <f t="shared" si="0"/>
        <v>18972.445280438933</v>
      </c>
      <c r="D14">
        <f t="shared" si="1"/>
        <v>19043.458089376592</v>
      </c>
      <c r="E14">
        <f t="shared" si="2"/>
        <v>710.12808937659065</v>
      </c>
      <c r="F14">
        <f t="shared" si="3"/>
        <v>710.12808937659065</v>
      </c>
      <c r="G14">
        <f>SUMSQ($E$3:E14)/12</f>
        <v>21485793.067411315</v>
      </c>
      <c r="H14">
        <f>SUM($F$3:F14)/12</f>
        <v>4028.7356532515091</v>
      </c>
      <c r="I14">
        <f t="shared" si="4"/>
        <v>3.8734266463135207</v>
      </c>
      <c r="J14">
        <f>AVERAGE($I$3:I14)</f>
        <v>23.130546992611951</v>
      </c>
      <c r="K14">
        <f>SUM($E$3:E14)/H14</f>
        <v>-1.1382134576195697</v>
      </c>
    </row>
    <row r="15" spans="1:11" x14ac:dyDescent="0.25">
      <c r="A15" s="1">
        <v>13</v>
      </c>
      <c r="D15" s="1">
        <f t="shared" si="1"/>
        <v>18972.445280438933</v>
      </c>
    </row>
    <row r="16" spans="1:11" x14ac:dyDescent="0.25">
      <c r="A16" s="1">
        <f>14</f>
        <v>14</v>
      </c>
      <c r="D16" s="1">
        <f>C14</f>
        <v>18972.445280438933</v>
      </c>
    </row>
    <row r="17" spans="1:4" x14ac:dyDescent="0.25">
      <c r="A17" s="1">
        <f>15</f>
        <v>15</v>
      </c>
      <c r="D17" s="1">
        <f>C14</f>
        <v>18972.445280438933</v>
      </c>
    </row>
    <row r="18" spans="1:4" x14ac:dyDescent="0.25">
      <c r="A18" s="1">
        <f>16</f>
        <v>16</v>
      </c>
      <c r="D18" s="1">
        <f>C14</f>
        <v>18972.445280438933</v>
      </c>
    </row>
    <row r="19" spans="1:4" x14ac:dyDescent="0.25">
      <c r="A19" s="2"/>
      <c r="B19" s="2"/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  <row r="22" spans="1:4" x14ac:dyDescent="0.25">
      <c r="A22" s="2"/>
      <c r="B22" s="2"/>
      <c r="C22" s="2"/>
      <c r="D22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2"/>
  <sheetViews>
    <sheetView workbookViewId="0">
      <selection activeCell="L35" sqref="L35"/>
    </sheetView>
  </sheetViews>
  <sheetFormatPr defaultRowHeight="15" x14ac:dyDescent="0.25"/>
  <sheetData>
    <row r="1" spans="1:16" x14ac:dyDescent="0.25">
      <c r="A1" t="s">
        <v>0</v>
      </c>
      <c r="B1" t="s">
        <v>1</v>
      </c>
      <c r="C1" t="s">
        <v>16</v>
      </c>
      <c r="D1" t="s">
        <v>18</v>
      </c>
      <c r="E1" t="s">
        <v>17</v>
      </c>
      <c r="F1" t="s">
        <v>12</v>
      </c>
      <c r="G1" t="s">
        <v>13</v>
      </c>
      <c r="H1" t="s">
        <v>14</v>
      </c>
      <c r="I1" t="s">
        <v>7</v>
      </c>
      <c r="J1" t="s">
        <v>8</v>
      </c>
      <c r="K1" t="s">
        <v>9</v>
      </c>
      <c r="L1" t="s">
        <v>10</v>
      </c>
    </row>
    <row r="2" spans="1:16" x14ac:dyDescent="0.25">
      <c r="A2">
        <v>0</v>
      </c>
      <c r="C2">
        <v>15044</v>
      </c>
      <c r="D2">
        <v>534</v>
      </c>
    </row>
    <row r="3" spans="1:16" x14ac:dyDescent="0.25">
      <c r="A3">
        <v>1</v>
      </c>
      <c r="B3">
        <v>11750</v>
      </c>
      <c r="C3">
        <f t="shared" ref="C3:C14" si="0">0.1*B3+(1-0.1)*(C2+D2)</f>
        <v>15195.2</v>
      </c>
      <c r="D3">
        <f t="shared" ref="D3:D14" si="1">0.2*(C3-C2)+(1-0.2)*D2</f>
        <v>457.44000000000017</v>
      </c>
      <c r="E3">
        <f t="shared" ref="E3:E14" si="2">C2+D2</f>
        <v>15578</v>
      </c>
      <c r="F3">
        <f t="shared" ref="F3:F14" si="3">E3-B3</f>
        <v>3828</v>
      </c>
      <c r="G3">
        <f t="shared" ref="G3:G14" si="4">ABS(F3)</f>
        <v>3828</v>
      </c>
      <c r="H3">
        <f>SUMSQ($F$3:F3)/1</f>
        <v>14653584</v>
      </c>
      <c r="I3">
        <f>SUM($G$3:G3)/1</f>
        <v>3828</v>
      </c>
      <c r="J3">
        <f t="shared" ref="J3:J14" si="5">100*(G3/B3)</f>
        <v>32.578723404255314</v>
      </c>
      <c r="K3">
        <f>AVERAGE($J$3:J3)</f>
        <v>32.578723404255314</v>
      </c>
      <c r="L3">
        <f>SUM($F$3:F3)/I3</f>
        <v>1</v>
      </c>
    </row>
    <row r="4" spans="1:16" x14ac:dyDescent="0.25">
      <c r="A4">
        <v>2</v>
      </c>
      <c r="B4">
        <v>18500</v>
      </c>
      <c r="C4">
        <f t="shared" si="0"/>
        <v>15937.376000000002</v>
      </c>
      <c r="D4">
        <f t="shared" si="1"/>
        <v>514.38720000000046</v>
      </c>
      <c r="E4">
        <f t="shared" si="2"/>
        <v>15652.640000000001</v>
      </c>
      <c r="F4">
        <f t="shared" si="3"/>
        <v>-2847.3599999999988</v>
      </c>
      <c r="G4">
        <f t="shared" si="4"/>
        <v>2847.3599999999988</v>
      </c>
      <c r="H4">
        <f>SUMSQ($F$3:F4)/2</f>
        <v>11380521.484799996</v>
      </c>
      <c r="I4">
        <f>SUM($G$3:G4)/2</f>
        <v>3337.6799999999994</v>
      </c>
      <c r="J4">
        <f t="shared" si="5"/>
        <v>15.391135135135128</v>
      </c>
      <c r="K4">
        <f>AVERAGE($J$3:J4)</f>
        <v>23.984929269695222</v>
      </c>
      <c r="L4">
        <f>SUM($F$3:F4)/I4</f>
        <v>0.29380887322930943</v>
      </c>
    </row>
    <row r="5" spans="1:16" x14ac:dyDescent="0.25">
      <c r="A5">
        <v>3</v>
      </c>
      <c r="B5">
        <v>22333.33</v>
      </c>
      <c r="C5">
        <f t="shared" si="0"/>
        <v>17039.919880000001</v>
      </c>
      <c r="D5">
        <f t="shared" si="1"/>
        <v>632.01853600000027</v>
      </c>
      <c r="E5">
        <f t="shared" si="2"/>
        <v>16451.763200000001</v>
      </c>
      <c r="F5">
        <f t="shared" si="3"/>
        <v>-5881.5668000000005</v>
      </c>
      <c r="G5">
        <f t="shared" si="4"/>
        <v>5881.5668000000005</v>
      </c>
      <c r="H5">
        <f>SUMSQ($F$3:F5)/3</f>
        <v>19117956.997487415</v>
      </c>
      <c r="I5">
        <f>SUM($G$3:G5)/3</f>
        <v>4185.6422666666667</v>
      </c>
      <c r="J5">
        <f t="shared" si="5"/>
        <v>26.335377661996667</v>
      </c>
      <c r="K5">
        <f>AVERAGE($J$3:J5)</f>
        <v>24.768412067129038</v>
      </c>
      <c r="L5">
        <f>SUM($F$3:F5)/I5</f>
        <v>-1.1708900301943306</v>
      </c>
    </row>
    <row r="6" spans="1:16" x14ac:dyDescent="0.25">
      <c r="A6">
        <v>4</v>
      </c>
      <c r="B6">
        <v>14416.67</v>
      </c>
      <c r="C6">
        <f t="shared" si="0"/>
        <v>17346.411574400001</v>
      </c>
      <c r="D6">
        <f t="shared" si="1"/>
        <v>566.91316768000013</v>
      </c>
      <c r="E6">
        <f t="shared" si="2"/>
        <v>17671.938416000001</v>
      </c>
      <c r="F6">
        <f t="shared" si="3"/>
        <v>3255.2684160000008</v>
      </c>
      <c r="G6">
        <f t="shared" si="4"/>
        <v>3255.2684160000008</v>
      </c>
      <c r="H6">
        <f>SUMSQ($F$3:F6)/4</f>
        <v>16987660.863167349</v>
      </c>
      <c r="I6">
        <f>SUM($G$3:G6)/4</f>
        <v>3953.048804</v>
      </c>
      <c r="J6">
        <f t="shared" si="5"/>
        <v>22.579891306383519</v>
      </c>
      <c r="K6">
        <f>AVERAGE($J$3:J6)</f>
        <v>24.221281876942658</v>
      </c>
      <c r="L6">
        <f>SUM($F$3:F6)/I6</f>
        <v>-0.41630105409647211</v>
      </c>
    </row>
    <row r="7" spans="1:16" x14ac:dyDescent="0.25">
      <c r="A7">
        <v>5</v>
      </c>
      <c r="B7">
        <v>13000</v>
      </c>
      <c r="C7">
        <f t="shared" si="0"/>
        <v>17421.992267872</v>
      </c>
      <c r="D7">
        <f t="shared" si="1"/>
        <v>468.64667283839981</v>
      </c>
      <c r="E7">
        <f t="shared" si="2"/>
        <v>17913.32474208</v>
      </c>
      <c r="F7">
        <f t="shared" si="3"/>
        <v>4913.3247420799999</v>
      </c>
      <c r="G7">
        <f t="shared" si="4"/>
        <v>4913.3247420799999</v>
      </c>
      <c r="H7">
        <f>SUMSQ($F$3:F7)/5</f>
        <v>18418280.694760978</v>
      </c>
      <c r="I7">
        <f>SUM($G$3:G7)/5</f>
        <v>4145.1039916159998</v>
      </c>
      <c r="J7">
        <f t="shared" si="5"/>
        <v>37.794805708307692</v>
      </c>
      <c r="K7">
        <f>AVERAGE($J$3:J7)</f>
        <v>26.935986643215664</v>
      </c>
      <c r="L7">
        <f>SUM($F$3:F7)/I7</f>
        <v>0.78831951253557753</v>
      </c>
    </row>
    <row r="8" spans="1:16" x14ac:dyDescent="0.25">
      <c r="A8">
        <v>6</v>
      </c>
      <c r="B8">
        <v>20166.669999999998</v>
      </c>
      <c r="C8">
        <f t="shared" si="0"/>
        <v>18118.24204663936</v>
      </c>
      <c r="D8">
        <f t="shared" si="1"/>
        <v>514.16729402419196</v>
      </c>
      <c r="E8">
        <f t="shared" si="2"/>
        <v>17890.6389407104</v>
      </c>
      <c r="F8">
        <f t="shared" si="3"/>
        <v>-2276.0310592895985</v>
      </c>
      <c r="G8">
        <f t="shared" si="4"/>
        <v>2276.0310592895985</v>
      </c>
      <c r="H8">
        <f>SUMSQ($F$3:F8)/6</f>
        <v>16211953.476109304</v>
      </c>
      <c r="I8">
        <f>SUM($G$3:G8)/6</f>
        <v>3833.5918362282664</v>
      </c>
      <c r="J8">
        <f t="shared" si="5"/>
        <v>11.286102560757918</v>
      </c>
      <c r="K8">
        <f>AVERAGE($J$3:J8)</f>
        <v>24.327672629472705</v>
      </c>
      <c r="L8">
        <f>SUM($F$3:F8)/I8</f>
        <v>0.25867002569737246</v>
      </c>
    </row>
    <row r="9" spans="1:16" x14ac:dyDescent="0.25">
      <c r="A9">
        <v>7</v>
      </c>
      <c r="B9">
        <v>24500</v>
      </c>
      <c r="C9">
        <f t="shared" si="0"/>
        <v>19219.168406597197</v>
      </c>
      <c r="D9">
        <f t="shared" si="1"/>
        <v>631.51910721092099</v>
      </c>
      <c r="E9">
        <f t="shared" si="2"/>
        <v>18632.409340663551</v>
      </c>
      <c r="F9">
        <f t="shared" si="3"/>
        <v>-5867.5906593364489</v>
      </c>
      <c r="G9">
        <f t="shared" si="4"/>
        <v>5867.5906593364489</v>
      </c>
      <c r="H9">
        <f>SUMSQ($F$3:F9)/7</f>
        <v>18814334.428884022</v>
      </c>
      <c r="I9">
        <f>SUM($G$3:G9)/7</f>
        <v>4124.1630966722923</v>
      </c>
      <c r="J9">
        <f t="shared" si="5"/>
        <v>23.949349629944688</v>
      </c>
      <c r="K9">
        <f>AVERAGE($J$3:J9)</f>
        <v>24.273626486682989</v>
      </c>
      <c r="L9">
        <f>SUM($F$3:F9)/I9</f>
        <v>-1.1822896539858863</v>
      </c>
    </row>
    <row r="10" spans="1:16" x14ac:dyDescent="0.25">
      <c r="A10">
        <v>8</v>
      </c>
      <c r="B10">
        <v>17166.669999999998</v>
      </c>
      <c r="C10">
        <f t="shared" si="0"/>
        <v>19582.285762427306</v>
      </c>
      <c r="D10">
        <f t="shared" si="1"/>
        <v>577.83875693475852</v>
      </c>
      <c r="E10">
        <f t="shared" si="2"/>
        <v>19850.687513808116</v>
      </c>
      <c r="F10">
        <f t="shared" si="3"/>
        <v>2684.0175138081177</v>
      </c>
      <c r="G10">
        <f t="shared" si="4"/>
        <v>2684.0175138081177</v>
      </c>
      <c r="H10">
        <f>SUMSQ($F$3:F10)/8</f>
        <v>17363036.37707711</v>
      </c>
      <c r="I10">
        <f>SUM($G$3:G10)/8</f>
        <v>3944.1448988142706</v>
      </c>
      <c r="J10">
        <f t="shared" si="5"/>
        <v>15.635050442561765</v>
      </c>
      <c r="K10">
        <f>AVERAGE($J$3:J10)</f>
        <v>23.193804481167838</v>
      </c>
      <c r="L10">
        <f>SUM($F$3:F10)/I10</f>
        <v>-0.55574475658764244</v>
      </c>
    </row>
    <row r="11" spans="1:16" x14ac:dyDescent="0.25">
      <c r="A11">
        <v>9</v>
      </c>
      <c r="B11">
        <v>14000</v>
      </c>
      <c r="C11">
        <f t="shared" si="0"/>
        <v>19544.112067425856</v>
      </c>
      <c r="D11">
        <f t="shared" si="1"/>
        <v>454.63626654751698</v>
      </c>
      <c r="E11">
        <f t="shared" si="2"/>
        <v>20160.124519362063</v>
      </c>
      <c r="F11">
        <f t="shared" si="3"/>
        <v>6160.1245193620634</v>
      </c>
      <c r="G11">
        <f t="shared" si="4"/>
        <v>6160.1245193620634</v>
      </c>
      <c r="H11">
        <f>SUMSQ($F$3:F11)/9</f>
        <v>19650158.345629174</v>
      </c>
      <c r="I11">
        <f>SUM($G$3:G11)/9</f>
        <v>4190.3648566529137</v>
      </c>
      <c r="J11">
        <f t="shared" si="5"/>
        <v>44.000889424014737</v>
      </c>
      <c r="K11">
        <f>AVERAGE($J$3:J11)</f>
        <v>25.505702808150826</v>
      </c>
      <c r="L11">
        <f>SUM($F$3:F11)/I11</f>
        <v>0.94697879740089141</v>
      </c>
    </row>
    <row r="12" spans="1:16" x14ac:dyDescent="0.25">
      <c r="A12">
        <v>10</v>
      </c>
      <c r="B12">
        <v>21833.33</v>
      </c>
      <c r="C12">
        <f t="shared" si="0"/>
        <v>20182.206500576034</v>
      </c>
      <c r="D12">
        <f t="shared" si="1"/>
        <v>491.32789986804914</v>
      </c>
      <c r="E12">
        <f t="shared" si="2"/>
        <v>19998.748333973374</v>
      </c>
      <c r="F12">
        <f t="shared" si="3"/>
        <v>-1834.5816660266282</v>
      </c>
      <c r="G12">
        <f t="shared" si="4"/>
        <v>1834.5816660266282</v>
      </c>
      <c r="H12">
        <f>SUMSQ($F$3:F12)/10</f>
        <v>18021711.499998361</v>
      </c>
      <c r="I12">
        <f>SUM($G$3:G12)/10</f>
        <v>3954.7865375902852</v>
      </c>
      <c r="J12">
        <f t="shared" si="5"/>
        <v>8.4026654020556109</v>
      </c>
      <c r="K12">
        <f>AVERAGE($J$3:J12)</f>
        <v>23.795399067541304</v>
      </c>
      <c r="L12">
        <f>SUM($F$3:F12)/I12</f>
        <v>0.53949941073116592</v>
      </c>
    </row>
    <row r="13" spans="1:16" x14ac:dyDescent="0.25">
      <c r="A13">
        <v>11</v>
      </c>
      <c r="B13">
        <v>26166.67</v>
      </c>
      <c r="C13">
        <f t="shared" si="0"/>
        <v>21222.847960399678</v>
      </c>
      <c r="D13">
        <f t="shared" si="1"/>
        <v>601.19061185916826</v>
      </c>
      <c r="E13">
        <f t="shared" si="2"/>
        <v>20673.534400444085</v>
      </c>
      <c r="F13">
        <f t="shared" si="3"/>
        <v>-5493.1355995559134</v>
      </c>
      <c r="G13">
        <f t="shared" si="4"/>
        <v>5493.1355995559134</v>
      </c>
      <c r="H13">
        <f>SUMSQ($F$3:F13)/11</f>
        <v>19126513.974099282</v>
      </c>
      <c r="I13">
        <f>SUM($G$3:G13)/11</f>
        <v>4094.6364523144334</v>
      </c>
      <c r="J13">
        <f t="shared" si="5"/>
        <v>20.992872228510215</v>
      </c>
      <c r="K13">
        <f>AVERAGE($J$3:J13)</f>
        <v>23.54062390035666</v>
      </c>
      <c r="L13">
        <f>SUM($F$3:F13)/I13</f>
        <v>-0.82047103133160482</v>
      </c>
    </row>
    <row r="14" spans="1:16" x14ac:dyDescent="0.25">
      <c r="A14">
        <v>12</v>
      </c>
      <c r="B14">
        <v>18333.330000000002</v>
      </c>
      <c r="C14">
        <f t="shared" si="0"/>
        <v>21474.967715032963</v>
      </c>
      <c r="D14">
        <f t="shared" si="1"/>
        <v>531.37644041399142</v>
      </c>
      <c r="E14">
        <f t="shared" si="2"/>
        <v>21824.038572258847</v>
      </c>
      <c r="F14">
        <f t="shared" si="3"/>
        <v>3490.7085722588454</v>
      </c>
      <c r="G14">
        <f t="shared" si="4"/>
        <v>3490.7085722588454</v>
      </c>
      <c r="H14">
        <f>SUMSQ($F$3:F14)/12</f>
        <v>18548058.337627795</v>
      </c>
      <c r="I14">
        <f>SUM($G$3:G14)/12</f>
        <v>4044.3091289764675</v>
      </c>
      <c r="J14">
        <f t="shared" si="5"/>
        <v>19.040232037817706</v>
      </c>
      <c r="K14">
        <f>AVERAGE($J$3:J14)</f>
        <v>23.16559124514508</v>
      </c>
      <c r="L14">
        <f>SUM($F$3:F14)/I14</f>
        <v>3.2435200949546945E-2</v>
      </c>
    </row>
    <row r="15" spans="1:16" x14ac:dyDescent="0.25">
      <c r="A15" s="1">
        <v>13</v>
      </c>
      <c r="B15" s="2"/>
      <c r="C15" s="2"/>
      <c r="D15" s="2"/>
      <c r="E15" s="1">
        <f>C14+(1*D14)</f>
        <v>22006.344155446954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1">
        <v>14</v>
      </c>
      <c r="B16" s="2"/>
      <c r="C16" s="2"/>
      <c r="D16" s="2"/>
      <c r="E16" s="1">
        <f>C14+(2*D14)</f>
        <v>22537.720595860945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1">
        <v>15</v>
      </c>
      <c r="B17" s="2"/>
      <c r="C17" s="2"/>
      <c r="D17" s="2"/>
      <c r="E17" s="1">
        <f>C14+(3*D14)</f>
        <v>23069.097036274936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1">
        <v>16</v>
      </c>
      <c r="B18" s="2"/>
      <c r="C18" s="2"/>
      <c r="D18" s="2"/>
      <c r="E18" s="1">
        <f>C14+(4*D14)</f>
        <v>23600.473476688927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7"/>
  <sheetViews>
    <sheetView workbookViewId="0">
      <selection activeCell="N32" sqref="N32"/>
    </sheetView>
  </sheetViews>
  <sheetFormatPr defaultRowHeight="15" x14ac:dyDescent="0.25"/>
  <cols>
    <col min="5" max="5" width="17" customWidth="1"/>
  </cols>
  <sheetData>
    <row r="1" spans="1:13" x14ac:dyDescent="0.25">
      <c r="A1" t="s">
        <v>0</v>
      </c>
      <c r="B1" t="s">
        <v>1</v>
      </c>
      <c r="C1" t="s">
        <v>16</v>
      </c>
      <c r="D1" t="s">
        <v>18</v>
      </c>
      <c r="E1" t="s">
        <v>19</v>
      </c>
      <c r="F1" t="s">
        <v>17</v>
      </c>
      <c r="G1" t="s">
        <v>12</v>
      </c>
      <c r="H1" t="s">
        <v>13</v>
      </c>
      <c r="I1" t="s">
        <v>14</v>
      </c>
      <c r="J1" t="s">
        <v>7</v>
      </c>
      <c r="K1" t="s">
        <v>8</v>
      </c>
      <c r="L1" t="s">
        <v>9</v>
      </c>
      <c r="M1" t="s">
        <v>10</v>
      </c>
    </row>
    <row r="2" spans="1:13" x14ac:dyDescent="0.25">
      <c r="A2">
        <v>0</v>
      </c>
      <c r="C2">
        <v>15575</v>
      </c>
      <c r="D2">
        <v>446</v>
      </c>
    </row>
    <row r="3" spans="1:13" x14ac:dyDescent="0.25">
      <c r="A3">
        <v>1</v>
      </c>
      <c r="B3">
        <v>11750</v>
      </c>
      <c r="C3">
        <f t="shared" ref="C3:C18" si="0">0.05*(B3/E3)+(1-0.05)*(C2+D2)</f>
        <v>16029.092759278834</v>
      </c>
      <c r="D3">
        <f t="shared" ref="D3:D18" si="1">0.05*(C3-C2)+(1-0.05)*D2</f>
        <v>446.4046379639417</v>
      </c>
      <c r="E3">
        <v>0.72607706521852988</v>
      </c>
      <c r="F3">
        <f t="shared" ref="F3:F14" si="2">(C2+D2)*E3</f>
        <v>11632.480661866068</v>
      </c>
      <c r="G3">
        <f t="shared" ref="G3:G14" si="3">F3-B3</f>
        <v>-117.51933813393225</v>
      </c>
      <c r="H3">
        <f t="shared" ref="H3:H14" si="4">ABS(G3)</f>
        <v>117.51933813393225</v>
      </c>
      <c r="I3">
        <f>SUMSQ($G$3:G3)/1</f>
        <v>13810.794835437504</v>
      </c>
      <c r="J3">
        <f>SUM($H$3:H3)/1</f>
        <v>117.51933813393225</v>
      </c>
      <c r="K3">
        <f t="shared" ref="K3:K14" si="5">100*(H3/B3)</f>
        <v>1.0001645798632532</v>
      </c>
      <c r="L3">
        <f>AVERAGE($K$3:K3)</f>
        <v>1.0001645798632532</v>
      </c>
      <c r="M3">
        <f>SUM($G$3:G3)/J3</f>
        <v>-1</v>
      </c>
    </row>
    <row r="4" spans="1:13" x14ac:dyDescent="0.25">
      <c r="A4">
        <v>2</v>
      </c>
      <c r="B4">
        <v>18500</v>
      </c>
      <c r="C4">
        <f t="shared" si="0"/>
        <v>16488.024121572889</v>
      </c>
      <c r="D4">
        <f t="shared" si="1"/>
        <v>447.03097418044734</v>
      </c>
      <c r="E4">
        <v>1.1060603093713042</v>
      </c>
      <c r="F4">
        <f t="shared" si="2"/>
        <v>18222.893748240462</v>
      </c>
      <c r="G4">
        <f t="shared" si="3"/>
        <v>-277.10625175953828</v>
      </c>
      <c r="H4">
        <f t="shared" si="4"/>
        <v>277.10625175953828</v>
      </c>
      <c r="I4">
        <f>SUMSQ($G$3:G4)/2</f>
        <v>45299.334799829056</v>
      </c>
      <c r="J4">
        <f>SUM($H$3:H4)/2</f>
        <v>197.31279494673527</v>
      </c>
      <c r="K4">
        <f t="shared" si="5"/>
        <v>1.4978716311326392</v>
      </c>
      <c r="L4">
        <f>AVERAGE($K$3:K4)</f>
        <v>1.2490181054979463</v>
      </c>
      <c r="M4">
        <f>SUM($G$3:G4)/J4</f>
        <v>-2</v>
      </c>
    </row>
    <row r="5" spans="1:13" x14ac:dyDescent="0.25">
      <c r="A5">
        <v>3</v>
      </c>
      <c r="B5">
        <v>22333.33</v>
      </c>
      <c r="C5">
        <f t="shared" si="0"/>
        <v>16945.417125273689</v>
      </c>
      <c r="D5">
        <f t="shared" si="1"/>
        <v>447.54907565646494</v>
      </c>
      <c r="E5">
        <v>1.3028202528340822</v>
      </c>
      <c r="F5">
        <f t="shared" si="2"/>
        <v>22063.332761608475</v>
      </c>
      <c r="G5">
        <f t="shared" si="3"/>
        <v>-269.99723839152648</v>
      </c>
      <c r="H5">
        <f t="shared" si="4"/>
        <v>269.99723839152648</v>
      </c>
      <c r="I5">
        <f>SUMSQ($G$3:G5)/3</f>
        <v>54499.059446236293</v>
      </c>
      <c r="J5">
        <f>SUM($H$3:H5)/3</f>
        <v>221.54094276166566</v>
      </c>
      <c r="K5">
        <f t="shared" si="5"/>
        <v>1.208943038908781</v>
      </c>
      <c r="L5">
        <f>AVERAGE($K$3:K5)</f>
        <v>1.2356597499682245</v>
      </c>
      <c r="M5">
        <f>SUM($G$3:G5)/J5</f>
        <v>-3</v>
      </c>
    </row>
    <row r="6" spans="1:13" x14ac:dyDescent="0.25">
      <c r="A6">
        <v>4</v>
      </c>
      <c r="B6">
        <v>14416.67</v>
      </c>
      <c r="C6">
        <f t="shared" si="0"/>
        <v>17353.987543690742</v>
      </c>
      <c r="D6">
        <f t="shared" si="1"/>
        <v>445.60014279449439</v>
      </c>
      <c r="E6">
        <v>0.86777396714093913</v>
      </c>
      <c r="F6">
        <f t="shared" si="2"/>
        <v>15093.163280529428</v>
      </c>
      <c r="G6">
        <f t="shared" si="3"/>
        <v>676.49328052942838</v>
      </c>
      <c r="H6">
        <f t="shared" si="4"/>
        <v>676.49328052942838</v>
      </c>
      <c r="I6">
        <f>SUMSQ($G$3:G6)/4</f>
        <v>155285.0842350442</v>
      </c>
      <c r="J6">
        <f>SUM($H$3:H6)/4</f>
        <v>335.27902720360635</v>
      </c>
      <c r="K6">
        <f t="shared" si="5"/>
        <v>4.6924378551317911</v>
      </c>
      <c r="L6">
        <f>AVERAGE($K$3:K6)</f>
        <v>2.0998542762591161</v>
      </c>
      <c r="M6">
        <f>SUM($G$3:G6)/J6</f>
        <v>3.5404696629660469E-2</v>
      </c>
    </row>
    <row r="7" spans="1:13" x14ac:dyDescent="0.25">
      <c r="A7">
        <v>5</v>
      </c>
      <c r="B7">
        <v>13000</v>
      </c>
      <c r="C7">
        <f t="shared" si="0"/>
        <v>17804.400904121114</v>
      </c>
      <c r="D7">
        <f t="shared" si="1"/>
        <v>445.84080367628826</v>
      </c>
      <c r="E7">
        <f t="shared" ref="E7:E22" si="6">0.05*(B3/C3)+(1-0.05)*E3</f>
        <v>0.7264253175273282</v>
      </c>
      <c r="F7">
        <f t="shared" si="2"/>
        <v>12930.071137010558</v>
      </c>
      <c r="G7">
        <f t="shared" si="3"/>
        <v>-69.928862989441768</v>
      </c>
      <c r="H7">
        <f t="shared" si="4"/>
        <v>69.928862989441768</v>
      </c>
      <c r="I7">
        <f>SUMSQ($G$3:G7)/5</f>
        <v>125206.07656383459</v>
      </c>
      <c r="J7">
        <f>SUM($H$3:H7)/5</f>
        <v>282.20899436077343</v>
      </c>
      <c r="K7">
        <f t="shared" si="5"/>
        <v>0.53791433068801364</v>
      </c>
      <c r="L7">
        <f>AVERAGE($K$3:K7)</f>
        <v>1.7874662871448954</v>
      </c>
      <c r="M7">
        <f>SUM($G$3:G7)/J7</f>
        <v>-0.20572842079862649</v>
      </c>
    </row>
    <row r="8" spans="1:13" x14ac:dyDescent="0.25">
      <c r="A8">
        <v>6</v>
      </c>
      <c r="B8">
        <v>20166.669999999998</v>
      </c>
      <c r="C8">
        <f t="shared" si="0"/>
        <v>18248.716339926545</v>
      </c>
      <c r="D8">
        <f t="shared" si="1"/>
        <v>445.76453528274538</v>
      </c>
      <c r="E8">
        <f t="shared" si="6"/>
        <v>1.1068586189117031</v>
      </c>
      <c r="F8">
        <f t="shared" si="2"/>
        <v>20200.437331497396</v>
      </c>
      <c r="G8">
        <f t="shared" si="3"/>
        <v>33.767331497398118</v>
      </c>
      <c r="H8">
        <f t="shared" si="4"/>
        <v>33.767331497398118</v>
      </c>
      <c r="I8">
        <f>SUMSQ($G$3:G8)/6</f>
        <v>104528.43591593801</v>
      </c>
      <c r="J8">
        <f>SUM($H$3:H8)/6</f>
        <v>240.80205055021088</v>
      </c>
      <c r="K8">
        <f t="shared" si="5"/>
        <v>0.16744128553399307</v>
      </c>
      <c r="L8">
        <f>AVERAGE($K$3:K8)</f>
        <v>1.5174621202097451</v>
      </c>
      <c r="M8">
        <f>SUM($G$3:G8)/J8</f>
        <v>-0.10087571593393566</v>
      </c>
    </row>
    <row r="9" spans="1:13" x14ac:dyDescent="0.25">
      <c r="A9">
        <v>7</v>
      </c>
      <c r="B9">
        <v>24500</v>
      </c>
      <c r="C9">
        <f t="shared" si="0"/>
        <v>18699.478779860547</v>
      </c>
      <c r="D9">
        <f t="shared" si="1"/>
        <v>446.01443051530822</v>
      </c>
      <c r="E9">
        <f t="shared" si="6"/>
        <v>1.3035770868930365</v>
      </c>
      <c r="F9">
        <f t="shared" si="2"/>
        <v>24369.69692028291</v>
      </c>
      <c r="G9">
        <f t="shared" si="3"/>
        <v>-130.30307971709044</v>
      </c>
      <c r="H9">
        <f t="shared" si="4"/>
        <v>130.30307971709044</v>
      </c>
      <c r="I9">
        <f>SUMSQ($G$3:G9)/7</f>
        <v>92021.358297055223</v>
      </c>
      <c r="J9">
        <f>SUM($H$3:H9)/7</f>
        <v>225.01648328833653</v>
      </c>
      <c r="K9">
        <f t="shared" si="5"/>
        <v>0.5318493049677161</v>
      </c>
      <c r="L9">
        <f>AVERAGE($K$3:K9)</f>
        <v>1.3766602894608837</v>
      </c>
      <c r="M9">
        <f>SUM($G$3:G9)/J9</f>
        <v>-0.68703481942967481</v>
      </c>
    </row>
    <row r="10" spans="1:13" x14ac:dyDescent="0.25">
      <c r="A10">
        <v>8</v>
      </c>
      <c r="B10">
        <v>17166.669999999998</v>
      </c>
      <c r="C10">
        <f t="shared" si="0"/>
        <v>19179.454690129449</v>
      </c>
      <c r="D10">
        <f t="shared" si="1"/>
        <v>447.71250450298788</v>
      </c>
      <c r="E10">
        <f t="shared" si="6"/>
        <v>0.86592232176293893</v>
      </c>
      <c r="F10">
        <f t="shared" si="2"/>
        <v>16578.509932025245</v>
      </c>
      <c r="G10">
        <f t="shared" si="3"/>
        <v>-588.16006797475347</v>
      </c>
      <c r="H10">
        <f t="shared" si="4"/>
        <v>588.16006797475347</v>
      </c>
      <c r="I10">
        <f>SUMSQ($G$3:G10)/8</f>
        <v>123760.22170493164</v>
      </c>
      <c r="J10">
        <f>SUM($H$3:H10)/8</f>
        <v>270.40943137413865</v>
      </c>
      <c r="K10">
        <f t="shared" si="5"/>
        <v>3.4261744879743921</v>
      </c>
      <c r="L10">
        <f>AVERAGE($K$3:K10)</f>
        <v>1.6328495642750722</v>
      </c>
      <c r="M10">
        <f>SUM($G$3:G10)/J10</f>
        <v>-2.74677633529646</v>
      </c>
    </row>
    <row r="11" spans="1:13" x14ac:dyDescent="0.25">
      <c r="A11">
        <v>9</v>
      </c>
      <c r="B11">
        <v>14000</v>
      </c>
      <c r="C11">
        <f t="shared" si="0"/>
        <v>19609.18422129393</v>
      </c>
      <c r="D11">
        <f t="shared" si="1"/>
        <v>446.81335583606256</v>
      </c>
      <c r="E11">
        <f t="shared" si="6"/>
        <v>0.72661187932235216</v>
      </c>
      <c r="F11">
        <f t="shared" si="2"/>
        <v>14261.332841065892</v>
      </c>
      <c r="G11">
        <f t="shared" si="3"/>
        <v>261.33284106589235</v>
      </c>
      <c r="H11">
        <f t="shared" si="4"/>
        <v>261.33284106589235</v>
      </c>
      <c r="I11">
        <f>SUMSQ($G$3:G11)/9</f>
        <v>117597.40305100268</v>
      </c>
      <c r="J11">
        <f>SUM($H$3:H11)/9</f>
        <v>269.40092133988907</v>
      </c>
      <c r="K11">
        <f t="shared" si="5"/>
        <v>1.8666631504706594</v>
      </c>
      <c r="L11">
        <f>AVERAGE($K$3:K11)</f>
        <v>1.6588288516301375</v>
      </c>
      <c r="M11">
        <f>SUM($G$3:G11)/J11</f>
        <v>-1.7870071990814747</v>
      </c>
    </row>
    <row r="12" spans="1:13" x14ac:dyDescent="0.25">
      <c r="A12">
        <v>10</v>
      </c>
      <c r="B12">
        <v>21833.33</v>
      </c>
      <c r="C12">
        <f t="shared" si="0"/>
        <v>20039.550585270721</v>
      </c>
      <c r="D12">
        <f t="shared" si="1"/>
        <v>445.99100624309898</v>
      </c>
      <c r="E12">
        <f t="shared" si="6"/>
        <v>1.1067707251543422</v>
      </c>
      <c r="F12">
        <f t="shared" si="2"/>
        <v>22197.390982133893</v>
      </c>
      <c r="G12">
        <f t="shared" si="3"/>
        <v>364.06098213389123</v>
      </c>
      <c r="H12">
        <f t="shared" si="4"/>
        <v>364.06098213389123</v>
      </c>
      <c r="I12">
        <f>SUMSQ($G$3:G12)/10</f>
        <v>119091.70261713176</v>
      </c>
      <c r="J12">
        <f>SUM($H$3:H12)/10</f>
        <v>278.86692741928925</v>
      </c>
      <c r="K12">
        <f t="shared" si="5"/>
        <v>1.6674551345758581</v>
      </c>
      <c r="L12">
        <f>AVERAGE($K$3:K12)</f>
        <v>1.6596914799247096</v>
      </c>
      <c r="M12">
        <f>SUM($G$3:G12)/J12</f>
        <v>-0.42084733684900488</v>
      </c>
    </row>
    <row r="13" spans="1:13" x14ac:dyDescent="0.25">
      <c r="A13">
        <v>11</v>
      </c>
      <c r="B13">
        <v>26166.67</v>
      </c>
      <c r="C13">
        <f t="shared" si="0"/>
        <v>20464.658478269757</v>
      </c>
      <c r="D13">
        <f t="shared" si="1"/>
        <v>444.94685058089584</v>
      </c>
      <c r="E13">
        <f t="shared" si="6"/>
        <v>1.3039080798773557</v>
      </c>
      <c r="F13">
        <f t="shared" si="2"/>
        <v>26711.26320183849</v>
      </c>
      <c r="G13">
        <f t="shared" si="3"/>
        <v>544.59320183849195</v>
      </c>
      <c r="H13">
        <f t="shared" si="4"/>
        <v>544.59320183849195</v>
      </c>
      <c r="I13">
        <f>SUMSQ($G$3:G13)/11</f>
        <v>135227.16196909256</v>
      </c>
      <c r="J13">
        <f>SUM($H$3:H13)/11</f>
        <v>303.0238614573986</v>
      </c>
      <c r="K13">
        <f t="shared" si="5"/>
        <v>2.0812476399881681</v>
      </c>
      <c r="L13">
        <f>AVERAGE($K$3:K13)</f>
        <v>1.6980147672032055</v>
      </c>
      <c r="M13">
        <f>SUM($G$3:G13)/J13</f>
        <v>1.4098982042009354</v>
      </c>
    </row>
    <row r="14" spans="1:13" x14ac:dyDescent="0.25">
      <c r="A14">
        <v>12</v>
      </c>
      <c r="B14">
        <v>18333.330000000002</v>
      </c>
      <c r="C14">
        <f t="shared" si="0"/>
        <v>20920.948594078032</v>
      </c>
      <c r="D14">
        <f t="shared" si="1"/>
        <v>445.51401384226477</v>
      </c>
      <c r="E14">
        <f t="shared" si="6"/>
        <v>0.86737896397097725</v>
      </c>
      <c r="F14">
        <f t="shared" si="2"/>
        <v>18136.551807180502</v>
      </c>
      <c r="G14">
        <f t="shared" si="3"/>
        <v>-196.77819281949996</v>
      </c>
      <c r="H14">
        <f t="shared" si="4"/>
        <v>196.77819281949996</v>
      </c>
      <c r="I14">
        <f>SUMSQ($G$3:G14)/12</f>
        <v>127185.03656911053</v>
      </c>
      <c r="J14">
        <f>SUM($H$3:H14)/12</f>
        <v>294.1700557375737</v>
      </c>
      <c r="K14">
        <f t="shared" si="5"/>
        <v>1.0733357923492348</v>
      </c>
      <c r="L14">
        <f>AVERAGE($K$3:K14)</f>
        <v>1.6459581859653747</v>
      </c>
      <c r="M14">
        <f>SUM($G$3:G14)/J14</f>
        <v>0.78340606320891382</v>
      </c>
    </row>
    <row r="15" spans="1:13" x14ac:dyDescent="0.25">
      <c r="A15" s="1">
        <v>13</v>
      </c>
      <c r="B15" s="1">
        <f>(C14+(1*D14))*E15</f>
        <v>15511.599820439942</v>
      </c>
      <c r="C15" s="3">
        <f t="shared" si="0"/>
        <v>21366.462607920297</v>
      </c>
      <c r="D15">
        <f t="shared" si="1"/>
        <v>445.51401384226472</v>
      </c>
      <c r="E15">
        <f t="shared" si="6"/>
        <v>0.7259788438115149</v>
      </c>
      <c r="F15" s="1">
        <f>(C14+(1*D14))*E15</f>
        <v>15511.599820439942</v>
      </c>
    </row>
    <row r="16" spans="1:13" x14ac:dyDescent="0.25">
      <c r="A16" s="1">
        <v>14</v>
      </c>
      <c r="B16" s="1">
        <f>(C14+(2*D14))*E16</f>
        <v>24122.034791672704</v>
      </c>
      <c r="C16" s="3">
        <f t="shared" si="0"/>
        <v>21811.976621762562</v>
      </c>
      <c r="D16">
        <f t="shared" si="1"/>
        <v>445.51401384226466</v>
      </c>
      <c r="E16">
        <f t="shared" si="6"/>
        <v>1.1059077868076073</v>
      </c>
      <c r="F16" s="1">
        <f>(C14+(2*D14))*E16</f>
        <v>24122.034791672704</v>
      </c>
    </row>
    <row r="17" spans="1:6" x14ac:dyDescent="0.25">
      <c r="A17" s="1">
        <v>15</v>
      </c>
      <c r="B17" s="1">
        <f>(C14+(3*D14))*E17</f>
        <v>28993.587486267879</v>
      </c>
      <c r="C17" s="3">
        <f t="shared" si="0"/>
        <v>22257.490635604827</v>
      </c>
      <c r="D17">
        <f t="shared" si="1"/>
        <v>445.5140138422646</v>
      </c>
      <c r="E17">
        <f t="shared" si="6"/>
        <v>1.3026440384024003</v>
      </c>
      <c r="F17" s="1">
        <f>(C14+(3*D14))*E17</f>
        <v>28993.587486267879</v>
      </c>
    </row>
    <row r="18" spans="1:6" x14ac:dyDescent="0.25">
      <c r="A18" s="1">
        <v>16</v>
      </c>
      <c r="B18" s="1">
        <f>(C14+(4*D14))*E18</f>
        <v>19702.251794744905</v>
      </c>
      <c r="C18" s="3">
        <f t="shared" si="0"/>
        <v>22703.004649447092</v>
      </c>
      <c r="D18" s="2">
        <f t="shared" si="1"/>
        <v>445.51401384226455</v>
      </c>
      <c r="E18" s="2">
        <f t="shared" si="6"/>
        <v>0.86782573932233831</v>
      </c>
      <c r="F18" s="1">
        <f>(C14+(4*D14))*E18</f>
        <v>19702.251794744905</v>
      </c>
    </row>
    <row r="19" spans="1:6" x14ac:dyDescent="0.25">
      <c r="A19" s="2"/>
      <c r="B19" s="2"/>
      <c r="C19" s="3"/>
      <c r="D19" s="2"/>
      <c r="E19" s="2">
        <f t="shared" si="6"/>
        <v>0.7259788438115149</v>
      </c>
      <c r="F19" s="2"/>
    </row>
    <row r="20" spans="1:6" x14ac:dyDescent="0.25">
      <c r="A20" s="2"/>
      <c r="B20" s="2"/>
      <c r="C20" s="3"/>
      <c r="D20" s="2"/>
      <c r="E20" s="2">
        <f t="shared" si="6"/>
        <v>1.1059077868076073</v>
      </c>
      <c r="F20" s="2"/>
    </row>
    <row r="21" spans="1:6" x14ac:dyDescent="0.25">
      <c r="A21" s="2"/>
      <c r="B21" s="2"/>
      <c r="C21" s="3"/>
      <c r="D21" s="2"/>
      <c r="E21" s="2">
        <f t="shared" si="6"/>
        <v>1.3026440384024001</v>
      </c>
      <c r="F21" s="2"/>
    </row>
    <row r="22" spans="1:6" x14ac:dyDescent="0.25">
      <c r="A22" s="2"/>
      <c r="B22" s="2"/>
      <c r="C22" s="3"/>
      <c r="D22" s="2"/>
      <c r="E22" s="2">
        <f t="shared" si="6"/>
        <v>0.86782573932233831</v>
      </c>
      <c r="F22" s="2"/>
    </row>
    <row r="23" spans="1:6" x14ac:dyDescent="0.25">
      <c r="B23" s="2"/>
      <c r="C23" s="3"/>
      <c r="F23" s="2"/>
    </row>
    <row r="24" spans="1:6" x14ac:dyDescent="0.25">
      <c r="B24" s="2"/>
      <c r="C24" s="3"/>
      <c r="F24" s="2"/>
    </row>
    <row r="25" spans="1:6" x14ac:dyDescent="0.25">
      <c r="B25" s="2"/>
      <c r="C25" s="3"/>
      <c r="F25" s="2"/>
    </row>
    <row r="26" spans="1:6" x14ac:dyDescent="0.25">
      <c r="B26" s="2"/>
      <c r="C26" s="3"/>
      <c r="F26" s="2"/>
    </row>
    <row r="27" spans="1:6" x14ac:dyDescent="0.25">
      <c r="F2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B10" sqref="B10"/>
    </sheetView>
  </sheetViews>
  <sheetFormatPr defaultRowHeight="15" x14ac:dyDescent="0.25"/>
  <cols>
    <col min="1" max="1" width="33.42578125" customWidth="1"/>
    <col min="2" max="2" width="33.140625" customWidth="1"/>
    <col min="3" max="3" width="23.85546875" customWidth="1"/>
    <col min="4" max="4" width="40.85546875" customWidth="1"/>
    <col min="5" max="5" width="32.85546875" customWidth="1"/>
    <col min="6" max="6" width="20.5703125" customWidth="1"/>
    <col min="7" max="7" width="20.85546875" customWidth="1"/>
    <col min="8" max="8" width="23.85546875" customWidth="1"/>
    <col min="9" max="9" width="17.42578125" customWidth="1"/>
    <col min="10" max="10" width="29.5703125" customWidth="1"/>
  </cols>
  <sheetData>
    <row r="1" spans="1:2" x14ac:dyDescent="0.25">
      <c r="A1" t="s">
        <v>25</v>
      </c>
      <c r="B1">
        <f>SUM(winter_smoothing!B15:B18)</f>
        <v>88329.47389312544</v>
      </c>
    </row>
    <row r="2" spans="1:2" x14ac:dyDescent="0.25">
      <c r="A2" t="s">
        <v>26</v>
      </c>
      <c r="B2">
        <f>data!D10</f>
        <v>1000</v>
      </c>
    </row>
    <row r="3" spans="1:2" x14ac:dyDescent="0.25">
      <c r="A3" t="s">
        <v>27</v>
      </c>
      <c r="B3">
        <f>data!E10</f>
        <v>7500</v>
      </c>
    </row>
    <row r="4" spans="1:2" x14ac:dyDescent="0.25">
      <c r="A4" t="s">
        <v>28</v>
      </c>
      <c r="B4" s="9">
        <f>data!F10</f>
        <v>0.1</v>
      </c>
    </row>
    <row r="5" spans="1:2" x14ac:dyDescent="0.25">
      <c r="A5" t="s">
        <v>29</v>
      </c>
      <c r="B5">
        <f>SQRT((2*B1*B3)/(B4*B2))</f>
        <v>3639.9754235391229</v>
      </c>
    </row>
    <row r="6" spans="1:2" x14ac:dyDescent="0.25">
      <c r="A6" t="s">
        <v>33</v>
      </c>
      <c r="B6">
        <f>B5/2</f>
        <v>1819.9877117695614</v>
      </c>
    </row>
    <row r="7" spans="1:2" x14ac:dyDescent="0.25">
      <c r="A7" t="s">
        <v>34</v>
      </c>
      <c r="B7">
        <f>B1/B5</f>
        <v>24.266502823594152</v>
      </c>
    </row>
    <row r="8" spans="1:2" x14ac:dyDescent="0.25">
      <c r="A8" t="s">
        <v>30</v>
      </c>
      <c r="B8">
        <f>(B5/2)*B4*B2</f>
        <v>181998.77117695616</v>
      </c>
    </row>
    <row r="9" spans="1:2" x14ac:dyDescent="0.25">
      <c r="A9" t="s">
        <v>31</v>
      </c>
      <c r="B9">
        <f>365/B7</f>
        <v>15.04131034675145</v>
      </c>
    </row>
    <row r="10" spans="1:2" x14ac:dyDescent="0.25">
      <c r="A10" t="s">
        <v>32</v>
      </c>
      <c r="B10">
        <f>(B5/(2*B1))*365</f>
        <v>7.520655173375725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>
      <selection activeCell="B7" sqref="B7"/>
    </sheetView>
  </sheetViews>
  <sheetFormatPr defaultRowHeight="15" x14ac:dyDescent="0.25"/>
  <cols>
    <col min="1" max="1" width="15" customWidth="1"/>
    <col min="2" max="2" width="12.28515625" customWidth="1"/>
  </cols>
  <sheetData>
    <row r="1" spans="1:2" x14ac:dyDescent="0.25">
      <c r="A1" t="s">
        <v>25</v>
      </c>
      <c r="B1">
        <f>SUM(winter_smoothing!B15:B18)</f>
        <v>88329.47389312544</v>
      </c>
    </row>
    <row r="2" spans="1:2" x14ac:dyDescent="0.25">
      <c r="A2" t="s">
        <v>35</v>
      </c>
      <c r="B2">
        <f>STDEV(winter_smoothing!B15:B18)</f>
        <v>5795.5483786683762</v>
      </c>
    </row>
    <row r="3" spans="1:2" x14ac:dyDescent="0.25">
      <c r="A3" t="s">
        <v>36</v>
      </c>
      <c r="B3">
        <f>data!E13</f>
        <v>2</v>
      </c>
    </row>
    <row r="4" spans="1:2" x14ac:dyDescent="0.25">
      <c r="A4" t="s">
        <v>39</v>
      </c>
      <c r="B4">
        <f>NORMSINV(0.95)</f>
        <v>1.6448536269514715</v>
      </c>
    </row>
    <row r="5" spans="1:2" x14ac:dyDescent="0.25">
      <c r="A5" t="s">
        <v>37</v>
      </c>
      <c r="B5">
        <f>B1*B2</f>
        <v>511917739.20993382</v>
      </c>
    </row>
    <row r="6" spans="1:2" x14ac:dyDescent="0.25">
      <c r="A6" t="s">
        <v>38</v>
      </c>
      <c r="B6">
        <f>SQRT(B3)*B2</f>
        <v>8196.1431185022193</v>
      </c>
    </row>
    <row r="7" spans="1:2" x14ac:dyDescent="0.25">
      <c r="A7" t="s">
        <v>40</v>
      </c>
      <c r="B7">
        <f>B4*B6</f>
        <v>13481.455735481721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  <vt:lpstr>cycle_inventory</vt:lpstr>
      <vt:lpstr>safety_inventory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2019-03-11T22:26:57Z</dcterms:modified>
</cp:coreProperties>
</file>