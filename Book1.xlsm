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6" l="1"/>
  <c r="D26" i="6"/>
  <c r="C26" i="6"/>
  <c r="B26" i="6"/>
  <c r="F26" i="6"/>
  <c r="E29" i="6"/>
  <c r="D25" i="6"/>
  <c r="C25" i="6"/>
  <c r="B25" i="6"/>
  <c r="F25" i="6"/>
  <c r="E28" i="6"/>
  <c r="D24" i="6"/>
  <c r="C24" i="6"/>
  <c r="B24" i="6"/>
  <c r="F24" i="6"/>
  <c r="E27" i="6"/>
  <c r="D23" i="6"/>
  <c r="C23" i="6"/>
  <c r="B23" i="6"/>
  <c r="F23" i="6"/>
  <c r="E26" i="6"/>
  <c r="D22" i="6"/>
  <c r="C22" i="6"/>
  <c r="B22" i="6"/>
  <c r="F22" i="6"/>
  <c r="E25" i="6"/>
  <c r="D21" i="6"/>
  <c r="C21" i="6"/>
  <c r="B21" i="6"/>
  <c r="F21" i="6"/>
  <c r="E24" i="6"/>
  <c r="D20" i="6"/>
  <c r="C20" i="6"/>
  <c r="B20" i="6"/>
  <c r="F20" i="6"/>
  <c r="E23" i="6"/>
  <c r="D19" i="6"/>
  <c r="C19" i="6"/>
  <c r="B19" i="6"/>
  <c r="F19" i="6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H25" i="1"/>
  <c r="H24" i="1"/>
  <c r="H23" i="1"/>
  <c r="H22" i="1"/>
  <c r="H21" i="1"/>
  <c r="H20" i="1"/>
  <c r="H19" i="1"/>
  <c r="H18" i="1"/>
  <c r="H17" i="1"/>
  <c r="H16" i="1"/>
  <c r="H15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E26" i="5"/>
  <c r="E25" i="5"/>
  <c r="E24" i="5"/>
  <c r="E23" i="5"/>
  <c r="E22" i="5"/>
  <c r="E21" i="5"/>
  <c r="E20" i="5"/>
  <c r="E19" i="5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D27" i="4"/>
  <c r="D26" i="4"/>
  <c r="D25" i="4"/>
  <c r="D24" i="4"/>
  <c r="D23" i="4"/>
  <c r="D22" i="4"/>
  <c r="D21" i="4"/>
  <c r="D20" i="4"/>
  <c r="D19" i="4"/>
  <c r="D18" i="4"/>
  <c r="D17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D26" i="3"/>
  <c r="D25" i="3"/>
  <c r="D24" i="3"/>
  <c r="D23" i="3"/>
  <c r="D22" i="3"/>
  <c r="D21" i="3"/>
  <c r="D20" i="3"/>
  <c r="D19" i="3"/>
  <c r="D18" i="3"/>
  <c r="D17" i="3"/>
  <c r="D16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</calcChain>
</file>

<file path=xl/sharedStrings.xml><?xml version="1.0" encoding="utf-8"?>
<sst xmlns="http://schemas.openxmlformats.org/spreadsheetml/2006/main" count="76" uniqueCount="31">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</sst>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workbookViewId="0">
      <selection activeCell="A27" sqref="A27"/>
    </sheetView>
  </sheetViews>
  <sheetFormatPr defaultRowHeight="15" x14ac:dyDescent="0.25"/>
  <cols>
    <col min="3" max="3" width="18.42578125" customWidth="1"/>
    <col min="4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t="s">
        <v>0</v>
      </c>
      <c r="B1" t="s">
        <v>1</v>
      </c>
      <c r="C1" t="s">
        <v>15</v>
      </c>
      <c r="D1" t="s">
        <v>19</v>
      </c>
      <c r="G1" t="s">
        <v>26</v>
      </c>
      <c r="H1" t="s">
        <v>28</v>
      </c>
      <c r="I1" t="s">
        <v>27</v>
      </c>
      <c r="J1" t="s">
        <v>29</v>
      </c>
      <c r="K1" t="s">
        <v>30</v>
      </c>
    </row>
    <row r="2" spans="1:11" x14ac:dyDescent="0.25">
      <c r="A2">
        <v>1</v>
      </c>
      <c r="B2">
        <v>8000</v>
      </c>
      <c r="C2">
        <v>4</v>
      </c>
      <c r="D2">
        <v>0.1</v>
      </c>
      <c r="G2">
        <v>12</v>
      </c>
      <c r="H2">
        <v>12</v>
      </c>
      <c r="I2">
        <v>12</v>
      </c>
      <c r="J2">
        <v>12</v>
      </c>
      <c r="K2">
        <v>12</v>
      </c>
    </row>
    <row r="3" spans="1:11" x14ac:dyDescent="0.25">
      <c r="A3">
        <v>2</v>
      </c>
      <c r="B3">
        <v>13000</v>
      </c>
      <c r="D3" t="s">
        <v>20</v>
      </c>
      <c r="E3" t="s">
        <v>21</v>
      </c>
    </row>
    <row r="4" spans="1:11" x14ac:dyDescent="0.25">
      <c r="A4">
        <v>3</v>
      </c>
      <c r="B4">
        <v>23000</v>
      </c>
      <c r="D4">
        <v>0.1</v>
      </c>
      <c r="E4">
        <v>0.2</v>
      </c>
    </row>
    <row r="5" spans="1:11" x14ac:dyDescent="0.25">
      <c r="A5">
        <v>4</v>
      </c>
      <c r="B5">
        <v>34000</v>
      </c>
      <c r="D5" t="s">
        <v>22</v>
      </c>
      <c r="E5" t="s">
        <v>23</v>
      </c>
      <c r="F5" t="s">
        <v>24</v>
      </c>
    </row>
    <row r="6" spans="1:11" x14ac:dyDescent="0.25">
      <c r="A6">
        <v>5</v>
      </c>
      <c r="B6">
        <v>10000</v>
      </c>
      <c r="D6">
        <v>0.05</v>
      </c>
      <c r="E6">
        <v>0.1</v>
      </c>
      <c r="F6">
        <v>0.1</v>
      </c>
    </row>
    <row r="7" spans="1:11" x14ac:dyDescent="0.25">
      <c r="A7">
        <v>6</v>
      </c>
      <c r="B7">
        <v>18000</v>
      </c>
    </row>
    <row r="8" spans="1:11" x14ac:dyDescent="0.25">
      <c r="A8">
        <v>7</v>
      </c>
      <c r="B8">
        <v>23000</v>
      </c>
    </row>
    <row r="9" spans="1:11" x14ac:dyDescent="0.25">
      <c r="A9">
        <v>8</v>
      </c>
      <c r="B9">
        <v>38000</v>
      </c>
    </row>
    <row r="10" spans="1:11" x14ac:dyDescent="0.25">
      <c r="A10">
        <v>9</v>
      </c>
      <c r="B10">
        <v>12000</v>
      </c>
    </row>
    <row r="11" spans="1:11" x14ac:dyDescent="0.25">
      <c r="A11">
        <v>10</v>
      </c>
      <c r="B11">
        <v>13000</v>
      </c>
    </row>
    <row r="12" spans="1:11" x14ac:dyDescent="0.25">
      <c r="A12">
        <v>11</v>
      </c>
      <c r="B12">
        <v>32000</v>
      </c>
    </row>
    <row r="13" spans="1:11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H23" sqref="H23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SUMSQ($I$2:I2)/1</f>
        <v>891269.00505192461</v>
      </c>
      <c r="L2">
        <f>SUM($J$2:J2)/1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SUMSQ($I$2:I3)/2</f>
        <v>495827.13551754568</v>
      </c>
      <c r="L3">
        <f>SUM($J$2:J3)/2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SUMSQ($I$2:I4)/3</f>
        <v>390937.42720240221</v>
      </c>
      <c r="L4">
        <f>SUM($J$2:J4)/3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SUMSQ($I$2:I5)/4</f>
        <v>300999.8777050958</v>
      </c>
      <c r="L5">
        <f>SUM($J$2:J5)/4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SUMSQ($I$2:I6)/5</f>
        <v>241706.62718256572</v>
      </c>
      <c r="L6">
        <f>SUM($J$2:J6)/5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SUMSQ($I$2:I7)/6</f>
        <v>1962726.8535346149</v>
      </c>
      <c r="L7">
        <f>SUM($J$2:J7)/6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SUMSQ($I$2:I8)/7</f>
        <v>2866661.4820214561</v>
      </c>
      <c r="L8">
        <f>SUM($J$2:J8)/7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SUMSQ($I$2:I9)/8</f>
        <v>2522357.5808258005</v>
      </c>
      <c r="L9">
        <f>SUM($J$2:J9)/8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SUMSQ($I$2:I10)/9</f>
        <v>2371392.1678088433</v>
      </c>
      <c r="L10">
        <f>SUM($J$2:J10)/9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SUMSQ($I$2:I11)/10</f>
        <v>3146462.7572700242</v>
      </c>
      <c r="L11">
        <f>SUM($J$2:J11)/10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SUMSQ($I$2:I12)/11</f>
        <v>4082905.8637631279</v>
      </c>
      <c r="L12">
        <f>SUM($J$2:J12)/11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SUMSQ($I$2:I13)/12</f>
        <v>3744624.2933647218</v>
      </c>
      <c r="L13">
        <f>SUM($J$2:J13)/12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  <row r="14" spans="1:15" x14ac:dyDescent="0.25">
      <c r="H14" s="1">
        <f>(18439+13*524)*G2</f>
        <v>11909.862511509316</v>
      </c>
    </row>
    <row r="15" spans="1:15" x14ac:dyDescent="0.25">
      <c r="H15" s="1">
        <f>(18439+14*524)*G3</f>
        <v>17613.868561030362</v>
      </c>
    </row>
    <row r="16" spans="1:15" x14ac:dyDescent="0.25">
      <c r="H16" s="1">
        <f>(18439+15*524)*G4</f>
        <v>30786.595082646676</v>
      </c>
    </row>
    <row r="17" spans="8:8" x14ac:dyDescent="0.25">
      <c r="H17" s="1">
        <f>(18439+16*524)*G5</f>
        <v>44641.77826535442</v>
      </c>
    </row>
    <row r="18" spans="8:8" x14ac:dyDescent="0.25">
      <c r="H18" s="1">
        <f>(18439+17*524)*G2</f>
        <v>12898.459867024882</v>
      </c>
    </row>
    <row r="19" spans="8:8" x14ac:dyDescent="0.25">
      <c r="H19" s="1">
        <f>(18439+18*524)*G3</f>
        <v>19046.212634897274</v>
      </c>
    </row>
    <row r="20" spans="8:8" x14ac:dyDescent="0.25">
      <c r="H20" s="1">
        <f>(18439+19*524)*G4</f>
        <v>33240.25124041798</v>
      </c>
    </row>
    <row r="21" spans="8:8" x14ac:dyDescent="0.25">
      <c r="H21" s="1">
        <f>(18439+20*524)*G5</f>
        <v>48130.171332654238</v>
      </c>
    </row>
    <row r="22" spans="8:8" x14ac:dyDescent="0.25">
      <c r="H22" s="1">
        <f>(18439+21*524)*G2</f>
        <v>13887.057222540447</v>
      </c>
    </row>
    <row r="23" spans="8:8" x14ac:dyDescent="0.25">
      <c r="H23" s="1">
        <f>(18439+22*524)*G3</f>
        <v>20478.556708764183</v>
      </c>
    </row>
    <row r="24" spans="8:8" x14ac:dyDescent="0.25">
      <c r="H24" s="1">
        <f>(18439+23*524)*G4</f>
        <v>35693.90739818928</v>
      </c>
    </row>
    <row r="25" spans="8:8" x14ac:dyDescent="0.25">
      <c r="H25" s="1">
        <f>(18439+24*524)*G5</f>
        <v>51618.564399954048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6"/>
  <sheetViews>
    <sheetView workbookViewId="0">
      <selection activeCell="B28" sqref="B28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8000</v>
      </c>
    </row>
    <row r="3" spans="1:11" x14ac:dyDescent="0.25">
      <c r="A3">
        <v>2</v>
      </c>
      <c r="B3">
        <v>13000</v>
      </c>
    </row>
    <row r="4" spans="1:11" x14ac:dyDescent="0.25">
      <c r="A4">
        <v>3</v>
      </c>
      <c r="B4">
        <v>23000</v>
      </c>
    </row>
    <row r="5" spans="1:11" x14ac:dyDescent="0.25">
      <c r="A5">
        <v>4</v>
      </c>
      <c r="B5">
        <v>34000</v>
      </c>
      <c r="C5">
        <f>AVERAGE(B2:B5)</f>
        <v>19500</v>
      </c>
    </row>
    <row r="6" spans="1:11" x14ac:dyDescent="0.25">
      <c r="A6">
        <v>5</v>
      </c>
      <c r="B6">
        <v>10000</v>
      </c>
      <c r="C6">
        <f>AVERAGE(B3:B6)</f>
        <v>20000</v>
      </c>
      <c r="D6">
        <f>C5</f>
        <v>19500</v>
      </c>
      <c r="E6">
        <f>D6-B6</f>
        <v>9500</v>
      </c>
      <c r="F6">
        <f>ABS(E6)</f>
        <v>9500</v>
      </c>
      <c r="G6">
        <f>SUMSQ($E$6:E6)/1</f>
        <v>90250000</v>
      </c>
      <c r="H6">
        <f>SUM($F$6:F6)/1</f>
        <v>9500</v>
      </c>
      <c r="I6">
        <f>100*(F6/B6)</f>
        <v>95</v>
      </c>
      <c r="J6">
        <f>AVERAGE($I$6:I6)</f>
        <v>95</v>
      </c>
      <c r="K6">
        <f>SUM($E$6:E6)/H6</f>
        <v>1</v>
      </c>
    </row>
    <row r="7" spans="1:11" x14ac:dyDescent="0.25">
      <c r="A7">
        <v>6</v>
      </c>
      <c r="B7">
        <v>18000</v>
      </c>
      <c r="C7">
        <f>AVERAGE(B4:B7)</f>
        <v>21250</v>
      </c>
      <c r="D7">
        <f>C6</f>
        <v>20000</v>
      </c>
      <c r="E7">
        <f>D7-B7</f>
        <v>2000</v>
      </c>
      <c r="F7">
        <f>ABS(E7)</f>
        <v>2000</v>
      </c>
      <c r="G7">
        <f>SUMSQ($E$6:E7)/2</f>
        <v>47125000</v>
      </c>
      <c r="H7">
        <f>SUM($F$6:F7)/2</f>
        <v>5750</v>
      </c>
      <c r="I7">
        <f>100*(F7/B7)</f>
        <v>11.111111111111111</v>
      </c>
      <c r="J7">
        <f>AVERAGE($I$6:I7)</f>
        <v>53.055555555555557</v>
      </c>
      <c r="K7">
        <f>SUM($E$6:E7)/H7</f>
        <v>2</v>
      </c>
    </row>
    <row r="8" spans="1:11" x14ac:dyDescent="0.25">
      <c r="A8">
        <v>7</v>
      </c>
      <c r="B8">
        <v>23000</v>
      </c>
      <c r="C8">
        <f>AVERAGE(B5:B8)</f>
        <v>21250</v>
      </c>
      <c r="D8">
        <f>C7</f>
        <v>21250</v>
      </c>
      <c r="E8">
        <f>D8-B8</f>
        <v>-1750</v>
      </c>
      <c r="F8">
        <f>ABS(E8)</f>
        <v>1750</v>
      </c>
      <c r="G8">
        <f>SUMSQ($E$6:E8)/3</f>
        <v>32437500</v>
      </c>
      <c r="H8">
        <f>SUM($F$6:F8)/3</f>
        <v>4416.666666666667</v>
      </c>
      <c r="I8">
        <f>100*(F8/B8)</f>
        <v>7.608695652173914</v>
      </c>
      <c r="J8">
        <f>AVERAGE($I$6:I8)</f>
        <v>37.906602254428343</v>
      </c>
      <c r="K8">
        <f>SUM($E$6:E8)/H8</f>
        <v>2.2075471698113205</v>
      </c>
    </row>
    <row r="9" spans="1:11" x14ac:dyDescent="0.25">
      <c r="A9">
        <v>8</v>
      </c>
      <c r="B9">
        <v>38000</v>
      </c>
      <c r="C9">
        <f>AVERAGE(B6:B9)</f>
        <v>22250</v>
      </c>
      <c r="D9">
        <f>C8</f>
        <v>21250</v>
      </c>
      <c r="E9">
        <f>D9-B9</f>
        <v>-16750</v>
      </c>
      <c r="F9">
        <f>ABS(E9)</f>
        <v>16750</v>
      </c>
      <c r="G9">
        <f>SUMSQ($E$6:E9)/4</f>
        <v>94468750</v>
      </c>
      <c r="H9">
        <f>SUM($F$6:F9)/4</f>
        <v>7500</v>
      </c>
      <c r="I9">
        <f>100*(F9/B9)</f>
        <v>44.078947368421048</v>
      </c>
      <c r="J9">
        <f>AVERAGE($I$6:I9)</f>
        <v>39.449688532926515</v>
      </c>
      <c r="K9">
        <f>SUM($E$6:E9)/H9</f>
        <v>-0.93333333333333335</v>
      </c>
    </row>
    <row r="10" spans="1:11" x14ac:dyDescent="0.25">
      <c r="A10">
        <v>9</v>
      </c>
      <c r="B10">
        <v>12000</v>
      </c>
      <c r="C10">
        <f>AVERAGE(B7:B10)</f>
        <v>22750</v>
      </c>
      <c r="D10">
        <f>C9</f>
        <v>22250</v>
      </c>
      <c r="E10">
        <f>D10-B10</f>
        <v>10250</v>
      </c>
      <c r="F10">
        <f>ABS(E10)</f>
        <v>10250</v>
      </c>
      <c r="G10">
        <f>SUMSQ($E$6:E10)/5</f>
        <v>96587500</v>
      </c>
      <c r="H10">
        <f>SUM($F$6:F10)/5</f>
        <v>8050</v>
      </c>
      <c r="I10">
        <f>100*(F10/B10)</f>
        <v>85.416666666666657</v>
      </c>
      <c r="J10">
        <f>AVERAGE($I$6:I10)</f>
        <v>48.643084159674544</v>
      </c>
      <c r="K10">
        <f>SUM($E$6:E10)/H10</f>
        <v>0.40372670807453415</v>
      </c>
    </row>
    <row r="11" spans="1:11" x14ac:dyDescent="0.25">
      <c r="A11">
        <v>10</v>
      </c>
      <c r="B11">
        <v>13000</v>
      </c>
      <c r="C11">
        <f>AVERAGE(B8:B11)</f>
        <v>21500</v>
      </c>
      <c r="D11">
        <f>C10</f>
        <v>22750</v>
      </c>
      <c r="E11">
        <f>D11-B11</f>
        <v>9750</v>
      </c>
      <c r="F11">
        <f>ABS(E11)</f>
        <v>9750</v>
      </c>
      <c r="G11">
        <f>SUMSQ($E$6:E11)/6</f>
        <v>96333333.333333328</v>
      </c>
      <c r="H11">
        <f>SUM($F$6:F11)/6</f>
        <v>8333.3333333333339</v>
      </c>
      <c r="I11">
        <f>100*(F11/B11)</f>
        <v>75</v>
      </c>
      <c r="J11">
        <f>AVERAGE($I$6:I11)</f>
        <v>53.03590346639546</v>
      </c>
      <c r="K11">
        <f>SUM($E$6:E11)/H11</f>
        <v>1.5599999999999998</v>
      </c>
    </row>
    <row r="12" spans="1:11" x14ac:dyDescent="0.25">
      <c r="A12">
        <v>11</v>
      </c>
      <c r="B12">
        <v>32000</v>
      </c>
      <c r="C12">
        <f>AVERAGE(B9:B12)</f>
        <v>23750</v>
      </c>
      <c r="D12">
        <f>C11</f>
        <v>21500</v>
      </c>
      <c r="E12">
        <f>D12-B12</f>
        <v>-10500</v>
      </c>
      <c r="F12">
        <f>ABS(E12)</f>
        <v>10500</v>
      </c>
      <c r="G12">
        <f>SUMSQ($E$6:E12)/7</f>
        <v>98321428.571428567</v>
      </c>
      <c r="H12">
        <f>SUM($F$6:F12)/7</f>
        <v>8642.8571428571431</v>
      </c>
      <c r="I12">
        <f>100*(F12/B12)</f>
        <v>32.8125</v>
      </c>
      <c r="J12">
        <f>AVERAGE($I$6:I12)</f>
        <v>50.146845828338961</v>
      </c>
      <c r="K12">
        <f>SUM($E$6:E12)/H12</f>
        <v>0.28925619834710742</v>
      </c>
    </row>
    <row r="13" spans="1:11" x14ac:dyDescent="0.25">
      <c r="A13">
        <v>12</v>
      </c>
      <c r="B13">
        <v>41000</v>
      </c>
      <c r="C13">
        <f>AVERAGE(B10:B13)</f>
        <v>24500</v>
      </c>
      <c r="D13">
        <f>C12</f>
        <v>23750</v>
      </c>
      <c r="E13">
        <f>D13-B13</f>
        <v>-17250</v>
      </c>
      <c r="F13">
        <f>ABS(E13)</f>
        <v>17250</v>
      </c>
      <c r="G13">
        <f>SUMSQ($E$6:E13)/8</f>
        <v>123226562.5</v>
      </c>
      <c r="H13">
        <f>SUM($F$6:F13)/8</f>
        <v>9718.75</v>
      </c>
      <c r="I13">
        <f>100*(F13/B13)</f>
        <v>42.073170731707314</v>
      </c>
      <c r="J13">
        <f>AVERAGE($I$6:I13)</f>
        <v>49.137636441260007</v>
      </c>
      <c r="K13">
        <f>SUM($E$6:E13)/H13</f>
        <v>-1.517684887459807</v>
      </c>
    </row>
    <row r="14" spans="1:11" x14ac:dyDescent="0.25">
      <c r="D14">
        <f>C13</f>
        <v>24500</v>
      </c>
    </row>
    <row r="15" spans="1:11" x14ac:dyDescent="0.25">
      <c r="D15" s="1">
        <f>C13</f>
        <v>24500</v>
      </c>
    </row>
    <row r="16" spans="1:11" x14ac:dyDescent="0.25">
      <c r="D16" s="1">
        <f>C13</f>
        <v>24500</v>
      </c>
    </row>
    <row r="17" spans="4:4" x14ac:dyDescent="0.25">
      <c r="D17" s="1">
        <f>C13</f>
        <v>24500</v>
      </c>
    </row>
    <row r="18" spans="4:4" x14ac:dyDescent="0.25">
      <c r="D18" s="1">
        <f>C13</f>
        <v>24500</v>
      </c>
    </row>
    <row r="19" spans="4:4" x14ac:dyDescent="0.25">
      <c r="D19" s="1">
        <f>C13</f>
        <v>24500</v>
      </c>
    </row>
    <row r="20" spans="4:4" x14ac:dyDescent="0.25">
      <c r="D20" s="1">
        <f>C13</f>
        <v>24500</v>
      </c>
    </row>
    <row r="21" spans="4:4" x14ac:dyDescent="0.25">
      <c r="D21" s="1">
        <f>C13</f>
        <v>24500</v>
      </c>
    </row>
    <row r="22" spans="4:4" x14ac:dyDescent="0.25">
      <c r="D22" s="1">
        <f>C13</f>
        <v>24500</v>
      </c>
    </row>
    <row r="23" spans="4:4" x14ac:dyDescent="0.25">
      <c r="D23" s="1">
        <f>C13</f>
        <v>24500</v>
      </c>
    </row>
    <row r="24" spans="4:4" x14ac:dyDescent="0.25">
      <c r="D24" s="1">
        <f>C13</f>
        <v>24500</v>
      </c>
    </row>
    <row r="25" spans="4:4" x14ac:dyDescent="0.25">
      <c r="D25" s="1">
        <f>C13</f>
        <v>24500</v>
      </c>
    </row>
    <row r="26" spans="4:4" x14ac:dyDescent="0.25">
      <c r="D26" s="1">
        <f>C13</f>
        <v>24500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6" sqref="D16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22083.333333333332</v>
      </c>
    </row>
    <row r="3" spans="1:11" x14ac:dyDescent="0.25">
      <c r="A3">
        <v>1</v>
      </c>
      <c r="B3">
        <v>8000</v>
      </c>
      <c r="C3">
        <f>0.1*B3+(1-0.1)*C2</f>
        <v>20675</v>
      </c>
      <c r="D3">
        <f>C2</f>
        <v>22083.333333333332</v>
      </c>
      <c r="E3">
        <f>D3-B3</f>
        <v>14083.333333333332</v>
      </c>
      <c r="F3">
        <f>ABS(E3)</f>
        <v>14083.333333333332</v>
      </c>
      <c r="G3">
        <f>SUMSQ($E$3:E3)/1</f>
        <v>198340277.77777773</v>
      </c>
      <c r="H3">
        <f>SUM($F$3:F3)/1</f>
        <v>14083.333333333332</v>
      </c>
      <c r="I3">
        <f>100*(F3/B3)</f>
        <v>176.04166666666666</v>
      </c>
      <c r="J3">
        <f>AVERAGE($I$3:I3)</f>
        <v>176.04166666666666</v>
      </c>
      <c r="K3">
        <f>SUM($E$3:E3)/H3</f>
        <v>1</v>
      </c>
    </row>
    <row r="4" spans="1:11" x14ac:dyDescent="0.25">
      <c r="A4">
        <v>2</v>
      </c>
      <c r="B4">
        <v>13000</v>
      </c>
      <c r="C4">
        <f>0.1*B4+(1-0.1)*C3</f>
        <v>19907.5</v>
      </c>
      <c r="D4">
        <f>C3</f>
        <v>20675</v>
      </c>
      <c r="E4">
        <f>D4-B4</f>
        <v>7675</v>
      </c>
      <c r="F4">
        <f>ABS(E4)</f>
        <v>7675</v>
      </c>
      <c r="G4">
        <f>SUMSQ($E$3:E4)/2</f>
        <v>128622951.38888887</v>
      </c>
      <c r="H4">
        <f>SUM($F$3:F4)/2</f>
        <v>10879.166666666666</v>
      </c>
      <c r="I4">
        <f>100*(F4/B4)</f>
        <v>59.03846153846154</v>
      </c>
      <c r="J4">
        <f>AVERAGE($I$3:I4)</f>
        <v>117.5400641025641</v>
      </c>
      <c r="K4">
        <f>SUM($E$3:E4)/H4</f>
        <v>2</v>
      </c>
    </row>
    <row r="5" spans="1:11" x14ac:dyDescent="0.25">
      <c r="A5">
        <v>3</v>
      </c>
      <c r="B5">
        <v>23000</v>
      </c>
      <c r="C5">
        <f>0.1*B5+(1-0.1)*C4</f>
        <v>20216.75</v>
      </c>
      <c r="D5">
        <f>C4</f>
        <v>19907.5</v>
      </c>
      <c r="E5">
        <f>D5-B5</f>
        <v>-3092.5</v>
      </c>
      <c r="F5">
        <f>ABS(E5)</f>
        <v>3092.5</v>
      </c>
      <c r="G5">
        <f>SUMSQ($E$3:E5)/3</f>
        <v>88936486.342592582</v>
      </c>
      <c r="H5">
        <f>SUM($F$3:F5)/3</f>
        <v>8283.6111111111113</v>
      </c>
      <c r="I5">
        <f>100*(F5/B5)</f>
        <v>13.445652173913045</v>
      </c>
      <c r="J5">
        <f>AVERAGE($I$3:I5)</f>
        <v>82.841926793013741</v>
      </c>
      <c r="K5">
        <f>SUM($E$3:E5)/H5</f>
        <v>2.2533449582508966</v>
      </c>
    </row>
    <row r="6" spans="1:11" x14ac:dyDescent="0.25">
      <c r="A6">
        <v>4</v>
      </c>
      <c r="B6">
        <v>34000</v>
      </c>
      <c r="C6">
        <f>0.1*B6+(1-0.1)*C5</f>
        <v>21595.075000000001</v>
      </c>
      <c r="D6">
        <f>C5</f>
        <v>20216.75</v>
      </c>
      <c r="E6">
        <f>D6-B6</f>
        <v>-13783.25</v>
      </c>
      <c r="F6">
        <f>ABS(E6)</f>
        <v>13783.25</v>
      </c>
      <c r="G6">
        <f>SUMSQ($E$3:E6)/4</f>
        <v>114196859.89756943</v>
      </c>
      <c r="H6">
        <f>SUM($F$3:F6)/4</f>
        <v>9658.5208333333321</v>
      </c>
      <c r="I6">
        <f>100*(F6/B6)</f>
        <v>40.538970588235294</v>
      </c>
      <c r="J6">
        <f>AVERAGE($I$3:I6)</f>
        <v>72.266187741819138</v>
      </c>
      <c r="K6">
        <f>SUM($E$3:E6)/H6</f>
        <v>0.50552081603247556</v>
      </c>
    </row>
    <row r="7" spans="1:11" x14ac:dyDescent="0.25">
      <c r="A7">
        <v>5</v>
      </c>
      <c r="B7">
        <v>10000</v>
      </c>
      <c r="C7">
        <f>0.1*B7+(1-0.1)*C6</f>
        <v>20435.567500000001</v>
      </c>
      <c r="D7">
        <f>C6</f>
        <v>21595.075000000001</v>
      </c>
      <c r="E7">
        <f>D7-B7</f>
        <v>11595.075000000001</v>
      </c>
      <c r="F7">
        <f>ABS(E7)</f>
        <v>11595.075000000001</v>
      </c>
      <c r="G7">
        <f>SUMSQ($E$3:E7)/5</f>
        <v>118246640.76918054</v>
      </c>
      <c r="H7">
        <f>SUM($F$3:F7)/5</f>
        <v>10045.831666666665</v>
      </c>
      <c r="I7">
        <f>100*(F7/B7)</f>
        <v>115.95075000000001</v>
      </c>
      <c r="J7">
        <f>AVERAGE($I$3:I7)</f>
        <v>81.00310019345531</v>
      </c>
      <c r="K7">
        <f>SUM($E$3:E7)/H7</f>
        <v>1.6402483019905936</v>
      </c>
    </row>
    <row r="8" spans="1:11" x14ac:dyDescent="0.25">
      <c r="A8">
        <v>6</v>
      </c>
      <c r="B8">
        <v>18000</v>
      </c>
      <c r="C8">
        <f>0.1*B8+(1-0.1)*C7</f>
        <v>20192.010750000001</v>
      </c>
      <c r="D8">
        <f>C7</f>
        <v>20435.567500000001</v>
      </c>
      <c r="E8">
        <f>D8-B8</f>
        <v>2435.567500000001</v>
      </c>
      <c r="F8">
        <f>ABS(E8)</f>
        <v>2435.567500000001</v>
      </c>
      <c r="G8">
        <f>SUMSQ($E$3:E8)/6</f>
        <v>99527532.14882648</v>
      </c>
      <c r="H8">
        <f>SUM($F$3:F8)/6</f>
        <v>8777.454305555555</v>
      </c>
      <c r="I8">
        <f>100*(F8/B8)</f>
        <v>13.530930555555562</v>
      </c>
      <c r="J8">
        <f>AVERAGE($I$3:I8)</f>
        <v>69.757738587138689</v>
      </c>
      <c r="K8">
        <f>SUM($E$3:E8)/H8</f>
        <v>2.154750702759284</v>
      </c>
    </row>
    <row r="9" spans="1:11" x14ac:dyDescent="0.25">
      <c r="A9">
        <v>7</v>
      </c>
      <c r="B9">
        <v>23000</v>
      </c>
      <c r="C9">
        <f>0.1*B9+(1-0.1)*C8</f>
        <v>20472.809675</v>
      </c>
      <c r="D9">
        <f>C8</f>
        <v>20192.010750000001</v>
      </c>
      <c r="E9">
        <f>D9-B9</f>
        <v>-2807.9892499999987</v>
      </c>
      <c r="F9">
        <f>ABS(E9)</f>
        <v>2807.9892499999987</v>
      </c>
      <c r="G9">
        <f>SUMSQ($E$3:E9)/7</f>
        <v>86435713.788724914</v>
      </c>
      <c r="H9">
        <f>SUM($F$3:F9)/7</f>
        <v>7924.6735833333323</v>
      </c>
      <c r="I9">
        <f>100*(F9/B9)</f>
        <v>12.208648913043472</v>
      </c>
      <c r="J9">
        <f>AVERAGE($I$3:I9)</f>
        <v>61.53644006226795</v>
      </c>
      <c r="K9">
        <f>SUM($E$3:E9)/H9</f>
        <v>2.0322902153603954</v>
      </c>
    </row>
    <row r="10" spans="1:11" x14ac:dyDescent="0.25">
      <c r="A10">
        <v>8</v>
      </c>
      <c r="B10">
        <v>38000</v>
      </c>
      <c r="C10">
        <f>0.1*B10+(1-0.1)*C9</f>
        <v>22225.528707500001</v>
      </c>
      <c r="D10">
        <f>C9</f>
        <v>20472.809675</v>
      </c>
      <c r="E10">
        <f>D10-B10</f>
        <v>-17527.190325</v>
      </c>
      <c r="F10">
        <f>ABS(E10)</f>
        <v>17527.190325</v>
      </c>
      <c r="G10">
        <f>SUMSQ($E$3:E10)/8</f>
        <v>114031549.65123099</v>
      </c>
      <c r="H10">
        <f>SUM($F$3:F10)/8</f>
        <v>9124.9881760416665</v>
      </c>
      <c r="I10">
        <f>100*(F10/B10)</f>
        <v>46.124185065789476</v>
      </c>
      <c r="J10">
        <f>AVERAGE($I$3:I10)</f>
        <v>59.609908187708143</v>
      </c>
      <c r="K10">
        <f>SUM($E$3:E10)/H10</f>
        <v>-0.15583074895374763</v>
      </c>
    </row>
    <row r="11" spans="1:11" x14ac:dyDescent="0.25">
      <c r="A11">
        <v>9</v>
      </c>
      <c r="B11">
        <v>12000</v>
      </c>
      <c r="C11">
        <f>0.1*B11+(1-0.1)*C10</f>
        <v>21202.975836750004</v>
      </c>
      <c r="D11">
        <f>C10</f>
        <v>22225.528707500001</v>
      </c>
      <c r="E11">
        <f>D11-B11</f>
        <v>10225.528707500001</v>
      </c>
      <c r="F11">
        <f>ABS(E11)</f>
        <v>10225.528707500001</v>
      </c>
      <c r="G11">
        <f>SUMSQ($E$3:E11)/9</f>
        <v>112979314.95086162</v>
      </c>
      <c r="H11">
        <f>SUM($F$3:F11)/9</f>
        <v>9247.2704573148148</v>
      </c>
      <c r="I11">
        <f>100*(F11/B11)</f>
        <v>85.212739229166672</v>
      </c>
      <c r="J11">
        <f>AVERAGE($I$3:I11)</f>
        <v>62.454667192314645</v>
      </c>
      <c r="K11">
        <f>SUM($E$3:E11)/H11</f>
        <v>0.95201876126262708</v>
      </c>
    </row>
    <row r="12" spans="1:11" x14ac:dyDescent="0.25">
      <c r="A12">
        <v>10</v>
      </c>
      <c r="B12">
        <v>13000</v>
      </c>
      <c r="C12">
        <f>0.1*B12+(1-0.1)*C11</f>
        <v>20382.678253075002</v>
      </c>
      <c r="D12">
        <f>C11</f>
        <v>21202.975836750004</v>
      </c>
      <c r="E12">
        <f>D12-B12</f>
        <v>8202.9758367500035</v>
      </c>
      <c r="F12">
        <f>ABS(E12)</f>
        <v>8202.9758367500035</v>
      </c>
      <c r="G12">
        <f>SUMSQ($E$3:E12)/10</f>
        <v>108410264.71360591</v>
      </c>
      <c r="H12">
        <f>SUM($F$3:F12)/10</f>
        <v>9142.8409952583352</v>
      </c>
      <c r="I12">
        <f>100*(F12/B12)</f>
        <v>63.099814128846177</v>
      </c>
      <c r="J12">
        <f>AVERAGE($I$3:I12)</f>
        <v>62.519181885967804</v>
      </c>
      <c r="K12">
        <f>SUM($E$3:E12)/H12</f>
        <v>1.860094779227079</v>
      </c>
    </row>
    <row r="13" spans="1:11" x14ac:dyDescent="0.25">
      <c r="A13">
        <v>11</v>
      </c>
      <c r="B13">
        <v>32000</v>
      </c>
      <c r="C13">
        <f>0.1*B13+(1-0.1)*C12</f>
        <v>21544.410427767503</v>
      </c>
      <c r="D13">
        <f>C12</f>
        <v>20382.678253075002</v>
      </c>
      <c r="E13">
        <f>D13-B13</f>
        <v>-11617.321746924998</v>
      </c>
      <c r="F13">
        <f>ABS(E13)</f>
        <v>11617.321746924998</v>
      </c>
      <c r="G13">
        <f>SUMSQ($E$3:E13)/11</f>
        <v>110824073.79160322</v>
      </c>
      <c r="H13">
        <f>SUM($F$3:F13)/11</f>
        <v>9367.7937908643944</v>
      </c>
      <c r="I13">
        <f>100*(F13/B13)</f>
        <v>36.304130459140616</v>
      </c>
      <c r="J13">
        <f>AVERAGE($I$3:I13)</f>
        <v>60.135995392619883</v>
      </c>
      <c r="K13">
        <f>SUM($E$3:E13)/H13</f>
        <v>0.57529330555012814</v>
      </c>
    </row>
    <row r="14" spans="1:11" x14ac:dyDescent="0.25">
      <c r="A14">
        <v>12</v>
      </c>
      <c r="B14">
        <v>41000</v>
      </c>
      <c r="C14">
        <f>0.1*B14+(1-0.1)*C13</f>
        <v>23489.969384990753</v>
      </c>
      <c r="D14">
        <f>C13</f>
        <v>21544.410427767503</v>
      </c>
      <c r="E14">
        <f>D14-B14</f>
        <v>-19455.589572232497</v>
      </c>
      <c r="F14">
        <f>ABS(E14)</f>
        <v>19455.589572232497</v>
      </c>
      <c r="G14">
        <f>SUMSQ($E$3:E14)/12</f>
        <v>133132064.77589977</v>
      </c>
      <c r="H14">
        <f>SUM($F$3:F14)/12</f>
        <v>10208.443439311735</v>
      </c>
      <c r="I14">
        <f>100*(F14/B14)</f>
        <v>47.452657493249994</v>
      </c>
      <c r="J14">
        <f>AVERAGE($I$3:I14)</f>
        <v>59.07905056767239</v>
      </c>
      <c r="K14">
        <f>SUM($E$3:E14)/H14</f>
        <v>-1.3779143314254894</v>
      </c>
    </row>
    <row r="15" spans="1:11" x14ac:dyDescent="0.25">
      <c r="D15" s="2">
        <f>C14</f>
        <v>23489.969384990753</v>
      </c>
    </row>
    <row r="16" spans="1:11" x14ac:dyDescent="0.25">
      <c r="D16" s="1">
        <f>C14</f>
        <v>23489.969384990753</v>
      </c>
    </row>
    <row r="17" spans="4:4" x14ac:dyDescent="0.25">
      <c r="D17" s="1">
        <f>C14</f>
        <v>23489.969384990753</v>
      </c>
    </row>
    <row r="18" spans="4:4" x14ac:dyDescent="0.25">
      <c r="D18" s="1">
        <f>C14</f>
        <v>23489.969384990753</v>
      </c>
    </row>
    <row r="19" spans="4:4" x14ac:dyDescent="0.25">
      <c r="D19" s="1">
        <f>C14</f>
        <v>23489.969384990753</v>
      </c>
    </row>
    <row r="20" spans="4:4" x14ac:dyDescent="0.25">
      <c r="D20" s="1">
        <f>C14</f>
        <v>23489.969384990753</v>
      </c>
    </row>
    <row r="21" spans="4:4" x14ac:dyDescent="0.25">
      <c r="D21" s="1">
        <f>C14</f>
        <v>23489.969384990753</v>
      </c>
    </row>
    <row r="22" spans="4:4" x14ac:dyDescent="0.25">
      <c r="D22" s="1">
        <f>C14</f>
        <v>23489.969384990753</v>
      </c>
    </row>
    <row r="23" spans="4:4" x14ac:dyDescent="0.25">
      <c r="D23" s="1">
        <f>C14</f>
        <v>23489.969384990753</v>
      </c>
    </row>
    <row r="24" spans="4:4" x14ac:dyDescent="0.25">
      <c r="D24" s="1">
        <f>C14</f>
        <v>23489.969384990753</v>
      </c>
    </row>
    <row r="25" spans="4:4" x14ac:dyDescent="0.25">
      <c r="D25" s="1">
        <f>C14</f>
        <v>23489.969384990753</v>
      </c>
    </row>
    <row r="26" spans="4:4" x14ac:dyDescent="0.25">
      <c r="D26" s="1">
        <f>C14</f>
        <v>23489.969384990753</v>
      </c>
    </row>
    <row r="27" spans="4:4" x14ac:dyDescent="0.25">
      <c r="D27" s="1">
        <f>C14</f>
        <v>23489.969384990753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6"/>
  <sheetViews>
    <sheetView workbookViewId="0">
      <selection activeCell="L40" sqref="L40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0</v>
      </c>
      <c r="C2">
        <v>12015</v>
      </c>
      <c r="D2">
        <v>1549</v>
      </c>
    </row>
    <row r="3" spans="1:12" x14ac:dyDescent="0.25">
      <c r="A3">
        <v>1</v>
      </c>
      <c r="B3">
        <v>8000</v>
      </c>
      <c r="C3">
        <f>0.1*B3+(1-0.1)*(C2+D2)</f>
        <v>13007.6</v>
      </c>
      <c r="D3">
        <f>0.2*(C3-C2)+(1-0.2)*D2</f>
        <v>1437.7200000000003</v>
      </c>
      <c r="E3">
        <f>C2+D2</f>
        <v>13564</v>
      </c>
      <c r="F3">
        <f>E3-B3</f>
        <v>5564</v>
      </c>
      <c r="G3">
        <f>ABS(F3)</f>
        <v>5564</v>
      </c>
      <c r="H3">
        <f>SUMSQ($F$3:F3)/1</f>
        <v>30958096</v>
      </c>
      <c r="I3">
        <f>SUM($G$3:G3)/1</f>
        <v>5564</v>
      </c>
      <c r="J3">
        <f>100*(G3/B3)</f>
        <v>69.55</v>
      </c>
      <c r="K3">
        <f>AVERAGE($J$3:J3)</f>
        <v>69.55</v>
      </c>
      <c r="L3">
        <f>SUM($F$3:F3)/I3</f>
        <v>1</v>
      </c>
    </row>
    <row r="4" spans="1:12" x14ac:dyDescent="0.25">
      <c r="A4">
        <v>2</v>
      </c>
      <c r="B4">
        <v>13000</v>
      </c>
      <c r="C4">
        <f>0.1*B4+(1-0.1)*(C3+D3)</f>
        <v>14300.788</v>
      </c>
      <c r="D4">
        <f>0.2*(C4-C3)+(1-0.2)*D3</f>
        <v>1408.8136000000002</v>
      </c>
      <c r="E4">
        <f>C3+D3</f>
        <v>14445.32</v>
      </c>
      <c r="F4">
        <f>E4-B4</f>
        <v>1445.3199999999997</v>
      </c>
      <c r="G4">
        <f>ABS(F4)</f>
        <v>1445.3199999999997</v>
      </c>
      <c r="H4">
        <f>SUMSQ($F$3:F4)/2</f>
        <v>16523522.951199999</v>
      </c>
      <c r="I4">
        <f>SUM($G$3:G4)/2</f>
        <v>3504.66</v>
      </c>
      <c r="J4">
        <f>100*(G4/B4)</f>
        <v>11.117846153846152</v>
      </c>
      <c r="K4">
        <f>AVERAGE($J$3:J4)</f>
        <v>40.333923076923071</v>
      </c>
      <c r="L4">
        <f>SUM($F$3:F4)/I4</f>
        <v>2</v>
      </c>
    </row>
    <row r="5" spans="1:12" x14ac:dyDescent="0.25">
      <c r="A5">
        <v>3</v>
      </c>
      <c r="B5">
        <v>23000</v>
      </c>
      <c r="C5">
        <f>0.1*B5+(1-0.1)*(C4+D4)</f>
        <v>16438.641439999999</v>
      </c>
      <c r="D5">
        <f>0.2*(C5-C4)+(1-0.2)*D4</f>
        <v>1554.621568</v>
      </c>
      <c r="E5">
        <f>C4+D4</f>
        <v>15709.6016</v>
      </c>
      <c r="F5">
        <f>E5-B5</f>
        <v>-7290.3984</v>
      </c>
      <c r="G5">
        <f>ABS(F5)</f>
        <v>7290.3984</v>
      </c>
      <c r="H5">
        <f>SUMSQ($F$3:F5)/3</f>
        <v>28732318.244374186</v>
      </c>
      <c r="I5">
        <f>SUM($G$3:G5)/3</f>
        <v>4766.5727999999999</v>
      </c>
      <c r="J5">
        <f>100*(G5/B5)</f>
        <v>31.697384347826084</v>
      </c>
      <c r="K5">
        <f>AVERAGE($J$3:J5)</f>
        <v>37.455076833890743</v>
      </c>
      <c r="L5">
        <f>SUM($F$3:F5)/I5</f>
        <v>-5.8968657732448845E-2</v>
      </c>
    </row>
    <row r="6" spans="1:12" x14ac:dyDescent="0.25">
      <c r="A6">
        <v>4</v>
      </c>
      <c r="B6">
        <v>34000</v>
      </c>
      <c r="C6">
        <f>0.1*B6+(1-0.1)*(C5+D5)</f>
        <v>19593.936707199999</v>
      </c>
      <c r="D6">
        <f>0.2*(C6-C5)+(1-0.2)*D5</f>
        <v>1874.7563078399999</v>
      </c>
      <c r="E6">
        <f>C5+D5</f>
        <v>17993.263007999998</v>
      </c>
      <c r="F6">
        <f>E6-B6</f>
        <v>-16006.736992000002</v>
      </c>
      <c r="G6">
        <f>ABS(F6)</f>
        <v>16006.736992000002</v>
      </c>
      <c r="H6">
        <f>SUMSQ($F$3:F6)/4</f>
        <v>85603145.966045946</v>
      </c>
      <c r="I6">
        <f>SUM($G$3:G6)/4</f>
        <v>7576.6138480000009</v>
      </c>
      <c r="J6">
        <f>100*(G6/B6)</f>
        <v>47.078638211764712</v>
      </c>
      <c r="K6">
        <f>AVERAGE($J$3:J6)</f>
        <v>39.860967178359232</v>
      </c>
      <c r="L6">
        <f>SUM($F$3:F6)/I6</f>
        <v>-2.1497486500911616</v>
      </c>
    </row>
    <row r="7" spans="1:12" x14ac:dyDescent="0.25">
      <c r="A7">
        <v>5</v>
      </c>
      <c r="B7">
        <v>10000</v>
      </c>
      <c r="C7">
        <f>0.1*B7+(1-0.1)*(C6+D6)</f>
        <v>20321.823713536</v>
      </c>
      <c r="D7">
        <f>0.2*(C7-C6)+(1-0.2)*D6</f>
        <v>1645.3824475392003</v>
      </c>
      <c r="E7">
        <f>C6+D6</f>
        <v>21468.69301504</v>
      </c>
      <c r="F7">
        <f>E7-B7</f>
        <v>11468.69301504</v>
      </c>
      <c r="G7">
        <f>ABS(F7)</f>
        <v>11468.69301504</v>
      </c>
      <c r="H7">
        <f>SUMSQ($F$3:F7)/5</f>
        <v>94788700.667482212</v>
      </c>
      <c r="I7">
        <f>SUM($G$3:G7)/5</f>
        <v>8355.0296814080011</v>
      </c>
      <c r="J7">
        <f>100*(G7/B7)</f>
        <v>114.68693015040002</v>
      </c>
      <c r="K7">
        <f>AVERAGE($J$3:J7)</f>
        <v>54.82615977276739</v>
      </c>
      <c r="L7">
        <f>SUM($F$3:F7)/I7</f>
        <v>-0.57679296911221467</v>
      </c>
    </row>
    <row r="8" spans="1:12" x14ac:dyDescent="0.25">
      <c r="A8">
        <v>6</v>
      </c>
      <c r="B8">
        <v>18000</v>
      </c>
      <c r="C8">
        <f>0.1*B8+(1-0.1)*(C7+D7)</f>
        <v>21570.48554496768</v>
      </c>
      <c r="D8">
        <f>0.2*(C8-C7)+(1-0.2)*D7</f>
        <v>1566.0383243176962</v>
      </c>
      <c r="E8">
        <f>C7+D7</f>
        <v>21967.206161075199</v>
      </c>
      <c r="F8">
        <f>E8-B8</f>
        <v>3967.2061610751989</v>
      </c>
      <c r="G8">
        <f>ABS(F8)</f>
        <v>3967.2061610751989</v>
      </c>
      <c r="H8">
        <f>SUMSQ($F$3:F8)/6</f>
        <v>81613704.676980674</v>
      </c>
      <c r="I8">
        <f>SUM($G$3:G8)/6</f>
        <v>7623.7257613525335</v>
      </c>
      <c r="J8">
        <f>100*(G8/B8)</f>
        <v>22.040034228195548</v>
      </c>
      <c r="K8">
        <f>AVERAGE($J$3:J8)</f>
        <v>49.361805515338752</v>
      </c>
      <c r="L8">
        <f>SUM($F$3:F8)/I8</f>
        <v>-0.11174539097451265</v>
      </c>
    </row>
    <row r="9" spans="1:12" x14ac:dyDescent="0.25">
      <c r="A9">
        <v>7</v>
      </c>
      <c r="B9">
        <v>23000</v>
      </c>
      <c r="C9">
        <f>0.1*B9+(1-0.1)*(C8+D8)</f>
        <v>23122.871482356837</v>
      </c>
      <c r="D9">
        <f>0.2*(C9-C8)+(1-0.2)*D8</f>
        <v>1563.3078469319885</v>
      </c>
      <c r="E9">
        <f>C8+D8</f>
        <v>23136.523869285375</v>
      </c>
      <c r="F9">
        <f>E9-B9</f>
        <v>136.52386928537453</v>
      </c>
      <c r="G9">
        <f>ABS(F9)</f>
        <v>136.52386928537453</v>
      </c>
      <c r="H9">
        <f>SUMSQ($F$3:F9)/7</f>
        <v>69957266.689824089</v>
      </c>
      <c r="I9">
        <f>SUM($G$3:G9)/7</f>
        <v>6554.1254910572252</v>
      </c>
      <c r="J9">
        <f>100*(G9/B9)</f>
        <v>0.59358204037119355</v>
      </c>
      <c r="K9">
        <f>AVERAGE($J$3:J9)</f>
        <v>42.394916447486246</v>
      </c>
      <c r="L9">
        <f>SUM($F$3:F9)/I9</f>
        <v>-0.10915145698316966</v>
      </c>
    </row>
    <row r="10" spans="1:12" x14ac:dyDescent="0.25">
      <c r="A10">
        <v>8</v>
      </c>
      <c r="B10">
        <v>38000</v>
      </c>
      <c r="C10">
        <f>0.1*B10+(1-0.1)*(C9+D9)</f>
        <v>26017.561396359943</v>
      </c>
      <c r="D10">
        <f>0.2*(C10-C9)+(1-0.2)*D9</f>
        <v>1829.584260346212</v>
      </c>
      <c r="E10">
        <f>C9+D9</f>
        <v>24686.179329288825</v>
      </c>
      <c r="F10">
        <f>E10-B10</f>
        <v>-13313.820670711175</v>
      </c>
      <c r="G10">
        <f>ABS(F10)</f>
        <v>13313.820670711175</v>
      </c>
      <c r="H10">
        <f>SUMSQ($F$3:F10)/8</f>
        <v>83369835.960078105</v>
      </c>
      <c r="I10">
        <f>SUM($G$3:G10)/8</f>
        <v>7399.087388513969</v>
      </c>
      <c r="J10">
        <f>100*(G10/B10)</f>
        <v>35.036370186082038</v>
      </c>
      <c r="K10">
        <f>AVERAGE($J$3:J10)</f>
        <v>41.475098164810717</v>
      </c>
      <c r="L10">
        <f>SUM($F$3:F10)/I10</f>
        <v>-1.8960734318517392</v>
      </c>
    </row>
    <row r="11" spans="1:12" x14ac:dyDescent="0.25">
      <c r="A11">
        <v>9</v>
      </c>
      <c r="B11">
        <v>12000</v>
      </c>
      <c r="C11">
        <f>0.1*B11+(1-0.1)*(C10+D10)</f>
        <v>26262.431091035538</v>
      </c>
      <c r="D11">
        <f>0.2*(C11-C10)+(1-0.2)*D10</f>
        <v>1512.6413472120887</v>
      </c>
      <c r="E11">
        <f>C10+D10</f>
        <v>27847.145656706154</v>
      </c>
      <c r="F11">
        <f>E11-B11</f>
        <v>15847.145656706154</v>
      </c>
      <c r="G11">
        <f>ABS(F11)</f>
        <v>15847.145656706154</v>
      </c>
      <c r="H11">
        <f>SUMSQ($F$3:F11)/9</f>
        <v>102010079.23838729</v>
      </c>
      <c r="I11">
        <f>SUM($G$3:G11)/9</f>
        <v>8337.760529424213</v>
      </c>
      <c r="J11">
        <f>100*(G11/B11)</f>
        <v>132.05954713921795</v>
      </c>
      <c r="K11">
        <f>AVERAGE($J$3:J11)</f>
        <v>51.540036939744851</v>
      </c>
      <c r="L11">
        <f>SUM($F$3:F11)/I11</f>
        <v>0.21803608210862024</v>
      </c>
    </row>
    <row r="12" spans="1:12" x14ac:dyDescent="0.25">
      <c r="A12">
        <v>10</v>
      </c>
      <c r="B12">
        <v>13000</v>
      </c>
      <c r="C12">
        <f>0.1*B12+(1-0.1)*(C11+D11)</f>
        <v>26297.565194422863</v>
      </c>
      <c r="D12">
        <f>0.2*(C12-C11)+(1-0.2)*D11</f>
        <v>1217.1398984471359</v>
      </c>
      <c r="E12">
        <f>C11+D11</f>
        <v>27775.072438247626</v>
      </c>
      <c r="F12">
        <f>E12-B12</f>
        <v>14775.072438247626</v>
      </c>
      <c r="G12">
        <f>ABS(F12)</f>
        <v>14775.072438247626</v>
      </c>
      <c r="H12">
        <f>SUMSQ($F$3:F12)/10</f>
        <v>113639347.87009501</v>
      </c>
      <c r="I12">
        <f>SUM($G$3:G12)/10</f>
        <v>8981.4917203065525</v>
      </c>
      <c r="J12">
        <f>100*(G12/B12)</f>
        <v>113.65440337113557</v>
      </c>
      <c r="K12">
        <f>AVERAGE($J$3:J12)</f>
        <v>57.751473582883932</v>
      </c>
      <c r="L12">
        <f>SUM($F$3:F12)/I12</f>
        <v>1.8474665004842681</v>
      </c>
    </row>
    <row r="13" spans="1:12" x14ac:dyDescent="0.25">
      <c r="A13">
        <v>11</v>
      </c>
      <c r="B13">
        <v>32000</v>
      </c>
      <c r="C13">
        <f>0.1*B13+(1-0.1)*(C12+D12)</f>
        <v>27963.234583582998</v>
      </c>
      <c r="D13">
        <f>0.2*(C13-C12)+(1-0.2)*D12</f>
        <v>1306.845796589736</v>
      </c>
      <c r="E13">
        <f>C12+D12</f>
        <v>27514.705092869997</v>
      </c>
      <c r="F13">
        <f>E13-B13</f>
        <v>-4485.2949071300027</v>
      </c>
      <c r="G13">
        <f>ABS(F13)</f>
        <v>4485.2949071300027</v>
      </c>
      <c r="H13">
        <f>SUMSQ($F$3:F13)/11</f>
        <v>105137395.3731706</v>
      </c>
      <c r="I13">
        <f>SUM($G$3:G13)/11</f>
        <v>8572.7465554723221</v>
      </c>
      <c r="J13">
        <f>100*(G13/B13)</f>
        <v>14.016546584781258</v>
      </c>
      <c r="K13">
        <f>AVERAGE($J$3:J13)</f>
        <v>53.775571128510961</v>
      </c>
      <c r="L13">
        <f>SUM($F$3:F13)/I13</f>
        <v>1.4123490169885335</v>
      </c>
    </row>
    <row r="14" spans="1:12" x14ac:dyDescent="0.25">
      <c r="A14">
        <v>12</v>
      </c>
      <c r="B14">
        <v>41000</v>
      </c>
      <c r="C14">
        <f>0.1*B14+(1-0.1)*(C13+D13)</f>
        <v>30443.072342155461</v>
      </c>
      <c r="D14">
        <f>0.2*(C14-C13)+(1-0.2)*D13</f>
        <v>1541.4441889862815</v>
      </c>
      <c r="E14">
        <f>C13+D13</f>
        <v>29270.080380172734</v>
      </c>
      <c r="F14">
        <f>E14-B14</f>
        <v>-11729.919619827266</v>
      </c>
      <c r="G14">
        <f>ABS(F14)</f>
        <v>11729.919619827266</v>
      </c>
      <c r="H14">
        <f>SUMSQ($F$3:F14)/12</f>
        <v>107841863.61604042</v>
      </c>
      <c r="I14">
        <f>SUM($G$3:G14)/12</f>
        <v>8835.8443108352349</v>
      </c>
      <c r="J14">
        <f>100*(G14/B14)</f>
        <v>28.609560048359185</v>
      </c>
      <c r="K14">
        <f>AVERAGE($J$3:J14)</f>
        <v>51.678403538498316</v>
      </c>
      <c r="L14">
        <f>SUM($F$3:F14)/I14</f>
        <v>4.2756587530931076E-2</v>
      </c>
    </row>
    <row r="15" spans="1:12" x14ac:dyDescent="0.25">
      <c r="E15" s="1">
        <f>C14+(1*D14)</f>
        <v>31984.516531141744</v>
      </c>
    </row>
    <row r="16" spans="1:12" x14ac:dyDescent="0.25">
      <c r="E16" s="1">
        <f>C14+(2*D14)</f>
        <v>33525.960720128023</v>
      </c>
    </row>
    <row r="17" spans="5:5" x14ac:dyDescent="0.25">
      <c r="E17" s="1">
        <f>C14+(3*D14)</f>
        <v>35067.40490911431</v>
      </c>
    </row>
    <row r="18" spans="5:5" x14ac:dyDescent="0.25">
      <c r="E18" s="1">
        <f>C14+(4*D14)</f>
        <v>36608.849098100589</v>
      </c>
    </row>
    <row r="19" spans="5:5" x14ac:dyDescent="0.25">
      <c r="E19" s="1">
        <f>C14+(5*D14)</f>
        <v>38150.293287086868</v>
      </c>
    </row>
    <row r="20" spans="5:5" x14ac:dyDescent="0.25">
      <c r="E20" s="1">
        <f>C14+(6*D14)</f>
        <v>39691.737476073147</v>
      </c>
    </row>
    <row r="21" spans="5:5" x14ac:dyDescent="0.25">
      <c r="E21" s="1">
        <f>C14+(7*D14)</f>
        <v>41233.181665059434</v>
      </c>
    </row>
    <row r="22" spans="5:5" x14ac:dyDescent="0.25">
      <c r="E22" s="1">
        <f>C14+(8*D14)</f>
        <v>42774.625854045713</v>
      </c>
    </row>
    <row r="23" spans="5:5" x14ac:dyDescent="0.25">
      <c r="E23" s="1">
        <f>C14+(9*D14)</f>
        <v>44316.070043031992</v>
      </c>
    </row>
    <row r="24" spans="5:5" x14ac:dyDescent="0.25">
      <c r="E24" s="1">
        <f>C14+(10*D14)</f>
        <v>45857.514232018279</v>
      </c>
    </row>
    <row r="25" spans="5:5" x14ac:dyDescent="0.25">
      <c r="E25" s="1">
        <f>C14+(11*D14)</f>
        <v>47398.958421004558</v>
      </c>
    </row>
    <row r="26" spans="5:5" x14ac:dyDescent="0.25">
      <c r="E26" s="1">
        <f>C14+(12*D14)</f>
        <v>48940.402609990837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0"/>
  <sheetViews>
    <sheetView tabSelected="1" workbookViewId="0">
      <selection activeCell="H39" sqref="H39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18439</v>
      </c>
      <c r="D2">
        <v>524</v>
      </c>
    </row>
    <row r="3" spans="1:13" x14ac:dyDescent="0.25">
      <c r="A3">
        <v>1</v>
      </c>
      <c r="B3">
        <v>8000</v>
      </c>
      <c r="C3">
        <f>0.05*(B3/E3)+(1-0.05)*(C2+D2)</f>
        <v>18862.920243484277</v>
      </c>
      <c r="D3">
        <f>0.1*(C3-C2)+(1-0.1)*D2</f>
        <v>513.99202434842778</v>
      </c>
      <c r="E3">
        <v>0.47165904366200612</v>
      </c>
      <c r="F3">
        <f>(C2+D2)*E3</f>
        <v>8944.0704449626228</v>
      </c>
      <c r="G3">
        <f>F3-B3</f>
        <v>944.07044496262279</v>
      </c>
      <c r="H3">
        <f>ABS(G3)</f>
        <v>944.07044496262279</v>
      </c>
      <c r="I3">
        <f>SUMSQ($G$3:G3)/1</f>
        <v>891269.00505192461</v>
      </c>
      <c r="J3">
        <f>SUM($H$3:H3)/1</f>
        <v>944.07044496262279</v>
      </c>
      <c r="K3">
        <f>100*(H3/B3)</f>
        <v>11.800880562032786</v>
      </c>
      <c r="L3">
        <f>AVERAGE($K$3:K3)</f>
        <v>11.800880562032786</v>
      </c>
      <c r="M3">
        <f>SUM($G$3:G3)/J3</f>
        <v>1</v>
      </c>
    </row>
    <row r="4" spans="1:13" x14ac:dyDescent="0.25">
      <c r="A4">
        <v>2</v>
      </c>
      <c r="B4">
        <v>13000</v>
      </c>
      <c r="C4">
        <f>0.05*(B4/E4)+(1-0.05)*(C3+D3)</f>
        <v>19359.234760524625</v>
      </c>
      <c r="D4">
        <f>0.1*(C4-C3)+(1-0.1)*D3</f>
        <v>512.22427361761982</v>
      </c>
      <c r="E4">
        <v>0.68337026424948055</v>
      </c>
      <c r="F4">
        <f>(C3+D3)*E4</f>
        <v>13241.605656807837</v>
      </c>
      <c r="G4">
        <f>F4-B4</f>
        <v>241.60565680783657</v>
      </c>
      <c r="H4">
        <f>ABS(G4)</f>
        <v>241.60565680783657</v>
      </c>
      <c r="I4">
        <f>SUMSQ($G$3:G4)/2</f>
        <v>474821.14922673535</v>
      </c>
      <c r="J4">
        <f>SUM($H$3:H4)/2</f>
        <v>592.83805088522968</v>
      </c>
      <c r="K4">
        <f>100*(H4/B4)</f>
        <v>1.8585050523679738</v>
      </c>
      <c r="L4">
        <f>AVERAGE($K$3:K4)</f>
        <v>6.82969280720038</v>
      </c>
      <c r="M4">
        <f>SUM($G$3:G4)/J4</f>
        <v>2</v>
      </c>
    </row>
    <row r="5" spans="1:13" x14ac:dyDescent="0.25">
      <c r="A5">
        <v>3</v>
      </c>
      <c r="B5">
        <v>23000</v>
      </c>
      <c r="C5">
        <f>0.05*(B5/E5)+(1-0.05)*(C4+D4)</f>
        <v>19860.256816152527</v>
      </c>
      <c r="D5">
        <f>0.1*(C5-C4)+(1-0.1)*D4</f>
        <v>511.10405181864803</v>
      </c>
      <c r="E5">
        <v>1.1706374798527197</v>
      </c>
      <c r="F5">
        <f>(C4+D4)*E5</f>
        <v>23262.274724724837</v>
      </c>
      <c r="G5">
        <f>F5-B5</f>
        <v>262.27472472483714</v>
      </c>
      <c r="H5">
        <f>ABS(G5)</f>
        <v>262.27472472483714</v>
      </c>
      <c r="I5">
        <f>SUMSQ($G$3:G5)/3</f>
        <v>339476.77656098659</v>
      </c>
      <c r="J5">
        <f>SUM($H$3:H5)/3</f>
        <v>482.65027549843217</v>
      </c>
      <c r="K5">
        <f>100*(H5/B5)</f>
        <v>1.1403248901079874</v>
      </c>
      <c r="L5">
        <f>AVERAGE($K$3:K5)</f>
        <v>4.933236834836249</v>
      </c>
      <c r="M5">
        <f>SUM($G$3:G5)/J5</f>
        <v>3</v>
      </c>
    </row>
    <row r="6" spans="1:13" x14ac:dyDescent="0.25">
      <c r="A6">
        <v>4</v>
      </c>
      <c r="B6">
        <v>34000</v>
      </c>
      <c r="C6">
        <f>0.05*(B6/E6)+(1-0.05)*(C5+D5)</f>
        <v>20374.23734967543</v>
      </c>
      <c r="D6">
        <f>0.1*(C6-C5)+(1-0.1)*D5</f>
        <v>511.39169998907357</v>
      </c>
      <c r="E6">
        <v>1.6643096695132693</v>
      </c>
      <c r="F6">
        <f>(C5+D5)*E6</f>
        <v>33904.252873708654</v>
      </c>
      <c r="G6">
        <f>F6-B6</f>
        <v>-95.747126291345921</v>
      </c>
      <c r="H6">
        <f>ABS(G6)</f>
        <v>95.747126291345921</v>
      </c>
      <c r="I6">
        <f>SUMSQ($G$3:G6)/4</f>
        <v>256899.46046900269</v>
      </c>
      <c r="J6">
        <f>SUM($H$3:H6)/4</f>
        <v>385.9244881966606</v>
      </c>
      <c r="K6">
        <f>100*(H6/B6)</f>
        <v>0.28160919497454684</v>
      </c>
      <c r="L6">
        <f>AVERAGE($K$3:K6)</f>
        <v>3.7703299248708233</v>
      </c>
      <c r="M6">
        <f>SUM($G$3:G6)/J6</f>
        <v>3.5038038309579629</v>
      </c>
    </row>
    <row r="7" spans="1:13" x14ac:dyDescent="0.25">
      <c r="A7">
        <v>5</v>
      </c>
      <c r="B7">
        <v>10000</v>
      </c>
      <c r="C7">
        <f>0.05*(B7/E7)+(1-0.05)*(C6+D6)</f>
        <v>20912.230657929962</v>
      </c>
      <c r="D7">
        <f>0.1*(C7-C6)+(1-0.1)*D6</f>
        <v>514.05186081561942</v>
      </c>
      <c r="E7">
        <f>0.1*(B3/C3)+(1-0.1)*E3</f>
        <v>0.46690438790808442</v>
      </c>
      <c r="F7">
        <f>(C6+D6)*E7</f>
        <v>9751.5918475089129</v>
      </c>
      <c r="G7">
        <f>F7-B7</f>
        <v>-248.40815249108709</v>
      </c>
      <c r="H7">
        <f>ABS(G7)</f>
        <v>248.40815249108709</v>
      </c>
      <c r="I7">
        <f>SUMSQ($G$3:G7)/5</f>
        <v>217860.89042000921</v>
      </c>
      <c r="J7">
        <f>SUM($H$3:H7)/5</f>
        <v>358.42122105554591</v>
      </c>
      <c r="K7">
        <f>100*(H7/B7)</f>
        <v>2.484081524910871</v>
      </c>
      <c r="L7">
        <f>AVERAGE($K$3:K7)</f>
        <v>3.5130802448788332</v>
      </c>
      <c r="M7">
        <f>SUM($G$3:G7)/J7</f>
        <v>3.07960433944787</v>
      </c>
    </row>
    <row r="8" spans="1:13" x14ac:dyDescent="0.25">
      <c r="A8">
        <v>6</v>
      </c>
      <c r="B8">
        <v>18000</v>
      </c>
      <c r="C8">
        <f>0.05*(B8/E8)+(1-0.05)*(C7+D7)</f>
        <v>21674.259286826225</v>
      </c>
      <c r="D8">
        <f>0.1*(C8-C7)+(1-0.1)*D7</f>
        <v>538.84953762368389</v>
      </c>
      <c r="E8">
        <f>0.1*(B4/C4)+(1-0.1)*E4</f>
        <v>0.68218465243782234</v>
      </c>
      <c r="F8">
        <f>(C7+D7)*E8</f>
        <v>14616.681093085042</v>
      </c>
      <c r="G8">
        <f>F8-B8</f>
        <v>-3383.3189069149576</v>
      </c>
      <c r="H8">
        <f>ABS(G8)</f>
        <v>3383.3189069149576</v>
      </c>
      <c r="I8">
        <f>SUMSQ($G$3:G8)/6</f>
        <v>2089358.5463313784</v>
      </c>
      <c r="J8">
        <f>SUM($H$3:H8)/6</f>
        <v>862.57083536544781</v>
      </c>
      <c r="K8">
        <f>100*(H8/B8)</f>
        <v>18.796216149527542</v>
      </c>
      <c r="L8">
        <f>AVERAGE($K$3:K8)</f>
        <v>6.0602695623202836</v>
      </c>
      <c r="M8">
        <f>SUM($G$3:G8)/J8</f>
        <v>-2.6427085935919941</v>
      </c>
    </row>
    <row r="9" spans="1:13" x14ac:dyDescent="0.25">
      <c r="A9">
        <v>7</v>
      </c>
      <c r="B9">
        <v>23000</v>
      </c>
      <c r="C9">
        <f>0.05*(B9/E9)+(1-0.05)*(C8+D8)</f>
        <v>22085.878052021009</v>
      </c>
      <c r="D9">
        <f>0.1*(C9-C8)+(1-0.1)*D8</f>
        <v>526.1264603807939</v>
      </c>
      <c r="E9">
        <f>0.1*(B5/C5)+(1-0.1)*E5</f>
        <v>1.1693829090241796</v>
      </c>
      <c r="F9">
        <f>(C8+D8)*E9</f>
        <v>25975.629815605909</v>
      </c>
      <c r="G9">
        <f>F9-B9</f>
        <v>2975.6298156059092</v>
      </c>
      <c r="H9">
        <f>ABS(G9)</f>
        <v>2975.6298156059092</v>
      </c>
      <c r="I9">
        <f>SUMSQ($G$3:G9)/7</f>
        <v>3055789.1539301611</v>
      </c>
      <c r="J9">
        <f>SUM($H$3:H9)/7</f>
        <v>1164.4364039712279</v>
      </c>
      <c r="K9">
        <f>100*(H9/B9)</f>
        <v>12.937520937416997</v>
      </c>
      <c r="L9">
        <f>AVERAGE($K$3:K9)</f>
        <v>7.0427340444769575</v>
      </c>
      <c r="M9">
        <f>SUM($G$3:G9)/J9</f>
        <v>0.59780547398706652</v>
      </c>
    </row>
    <row r="10" spans="1:13" x14ac:dyDescent="0.25">
      <c r="A10">
        <v>8</v>
      </c>
      <c r="B10">
        <v>38000</v>
      </c>
      <c r="C10">
        <f>0.05*(B10/E10)+(1-0.05)*(C9+D9)</f>
        <v>22622.712604199529</v>
      </c>
      <c r="D10">
        <f>0.1*(C10-C9)+(1-0.1)*D9</f>
        <v>527.1972695605665</v>
      </c>
      <c r="E10">
        <f>0.1*(B6/C6)+(1-0.1)*E6</f>
        <v>1.6647561145429197</v>
      </c>
      <c r="F10">
        <f>(C9+D9)*E10</f>
        <v>37643.472774092996</v>
      </c>
      <c r="G10">
        <f>F10-B10</f>
        <v>-356.52722590700432</v>
      </c>
      <c r="H10">
        <f>ABS(G10)</f>
        <v>356.52722590700432</v>
      </c>
      <c r="I10">
        <f>SUMSQ($G$3:G10)/8</f>
        <v>2689704.4675405091</v>
      </c>
      <c r="J10">
        <f>SUM($H$3:H10)/8</f>
        <v>1063.4477567132001</v>
      </c>
      <c r="K10">
        <f>100*(H10/B10)</f>
        <v>0.93822954186053764</v>
      </c>
      <c r="L10">
        <f>AVERAGE($K$3:K10)</f>
        <v>6.2796709816499048</v>
      </c>
      <c r="M10">
        <f>SUM($G$3:G10)/J10</f>
        <v>0.31931914694742408</v>
      </c>
    </row>
    <row r="11" spans="1:13" x14ac:dyDescent="0.25">
      <c r="A11">
        <v>9</v>
      </c>
      <c r="B11">
        <v>12000</v>
      </c>
      <c r="C11">
        <f>0.05*(B11/E11)+(1-0.05)*(C10+D10)</f>
        <v>23274.375663247945</v>
      </c>
      <c r="D11">
        <f>0.1*(C11-C10)+(1-0.1)*D10</f>
        <v>539.64384850935153</v>
      </c>
      <c r="E11">
        <f>0.1*(B7/C7)+(1-0.1)*E7</f>
        <v>0.46803285549591228</v>
      </c>
      <c r="F11">
        <f>(C10+D10)*E11</f>
        <v>10834.918422688952</v>
      </c>
      <c r="G11">
        <f>F11-B11</f>
        <v>-1165.081577311048</v>
      </c>
      <c r="H11">
        <f>ABS(G11)</f>
        <v>1165.081577311048</v>
      </c>
      <c r="I11">
        <f>SUMSQ($G$3:G11)/9</f>
        <v>2541672.3135681855</v>
      </c>
      <c r="J11">
        <f>SUM($H$3:H11)/9</f>
        <v>1074.7404034462943</v>
      </c>
      <c r="K11">
        <f>100*(H11/B11)</f>
        <v>9.7090131442587335</v>
      </c>
      <c r="L11">
        <f>AVERAGE($K$3:K11)</f>
        <v>6.6607089997175528</v>
      </c>
      <c r="M11">
        <f>SUM($G$3:G11)/J11</f>
        <v>-0.76809464328981858</v>
      </c>
    </row>
    <row r="12" spans="1:13" x14ac:dyDescent="0.25">
      <c r="A12">
        <v>10</v>
      </c>
      <c r="B12">
        <v>13000</v>
      </c>
      <c r="C12">
        <f>0.05*(B12/E12)+(1-0.05)*(C11+D11)</f>
        <v>23555.867943495359</v>
      </c>
      <c r="D12">
        <f>0.1*(C12-C11)+(1-0.1)*D11</f>
        <v>513.82869168315779</v>
      </c>
      <c r="E12">
        <f>0.1*(B8/C8)+(1-0.1)*E8</f>
        <v>0.69701400793751778</v>
      </c>
      <c r="F12">
        <f>(C11+D11)*E12</f>
        <v>16598.705184992206</v>
      </c>
      <c r="G12">
        <f>F12-B12</f>
        <v>3598.7051849922063</v>
      </c>
      <c r="H12">
        <f>ABS(G12)</f>
        <v>3598.7051849922063</v>
      </c>
      <c r="I12">
        <f>SUMSQ($G$3:G12)/10</f>
        <v>3582572.983060346</v>
      </c>
      <c r="J12">
        <f>SUM($H$3:H12)/10</f>
        <v>1327.1368816008855</v>
      </c>
      <c r="K12">
        <f>100*(H12/B12)</f>
        <v>27.682347576863126</v>
      </c>
      <c r="L12">
        <f>AVERAGE($K$3:K12)</f>
        <v>8.7628728574321109</v>
      </c>
      <c r="M12">
        <f>SUM($G$3:G12)/J12</f>
        <v>2.0896132694562279</v>
      </c>
    </row>
    <row r="13" spans="1:13" x14ac:dyDescent="0.25">
      <c r="A13">
        <v>11</v>
      </c>
      <c r="B13">
        <v>32000</v>
      </c>
      <c r="C13">
        <f>0.05*(B13/E13)+(1-0.05)*(C12+D12)</f>
        <v>24249.596500821252</v>
      </c>
      <c r="D13">
        <f>0.1*(C13-C12)+(1-0.1)*D12</f>
        <v>531.81867824743119</v>
      </c>
      <c r="E13">
        <f>0.1*(B9/C9)+(1-0.1)*E9</f>
        <v>1.1565835613225974</v>
      </c>
      <c r="F13">
        <f>(C12+D12)*E13</f>
        <v>27838.615454269308</v>
      </c>
      <c r="G13">
        <f>F13-B13</f>
        <v>-4161.3845457306925</v>
      </c>
      <c r="H13">
        <f>ABS(G13)</f>
        <v>4161.3845457306925</v>
      </c>
      <c r="I13">
        <f>SUMSQ($G$3:G13)/11</f>
        <v>4831168.2880045185</v>
      </c>
      <c r="J13">
        <f>SUM($H$3:H13)/11</f>
        <v>1584.7957601581404</v>
      </c>
      <c r="K13">
        <f>100*(H13/B13)</f>
        <v>13.004326705408415</v>
      </c>
      <c r="L13">
        <f>AVERAGE($K$3:K13)</f>
        <v>9.1484595708845013</v>
      </c>
      <c r="M13">
        <f>SUM($G$3:G13)/J13</f>
        <v>-0.87593729264785658</v>
      </c>
    </row>
    <row r="14" spans="1:13" x14ac:dyDescent="0.25">
      <c r="A14">
        <v>12</v>
      </c>
      <c r="B14">
        <v>41000</v>
      </c>
      <c r="C14">
        <f>0.05*(B14/E14)+(1-0.05)*(C13+D13)</f>
        <v>24772.649570509093</v>
      </c>
      <c r="D14">
        <f>0.1*(C14-C13)+(1-0.1)*D13</f>
        <v>530.94211739147227</v>
      </c>
      <c r="E14">
        <f>0.1*(B10/C10)+(1-0.1)*E10</f>
        <v>1.6662532863036077</v>
      </c>
      <c r="F14">
        <f>(C13+D13)*E14</f>
        <v>41292.114481377299</v>
      </c>
      <c r="G14">
        <f>F14-B14</f>
        <v>292.11448137729894</v>
      </c>
      <c r="H14">
        <f>ABS(G14)</f>
        <v>292.11448137729894</v>
      </c>
      <c r="I14">
        <f>SUMSQ($G$3:G14)/12</f>
        <v>4435681.8365233364</v>
      </c>
      <c r="J14">
        <f>SUM($H$3:H14)/12</f>
        <v>1477.0723202597371</v>
      </c>
      <c r="K14">
        <f>100*(H14/B14)</f>
        <v>0.71247434482268035</v>
      </c>
      <c r="L14">
        <f>AVERAGE($K$3:K14)</f>
        <v>8.445460802046016</v>
      </c>
      <c r="M14">
        <f>SUM($G$3:G14)/J14</f>
        <v>-0.74205386638257864</v>
      </c>
    </row>
    <row r="15" spans="1:13" x14ac:dyDescent="0.25">
      <c r="B15" s="1">
        <f>(C14+(1*D14))*E15</f>
        <v>11963.245085617307</v>
      </c>
      <c r="C15" s="3">
        <f>0.05*(B15/E15)+(1-0.05)*(C14+D14)</f>
        <v>25303.591687900564</v>
      </c>
      <c r="D15">
        <f>0.1*(C12-C11)+(1-0.1)*B14</f>
        <v>36928.14922802474</v>
      </c>
      <c r="E15">
        <f>0.1*(B11/C11)+(1-0.1)*E11</f>
        <v>0.47278841807022126</v>
      </c>
      <c r="F15" s="1">
        <f>(C14+(1*D14))*E15</f>
        <v>11963.245085617307</v>
      </c>
    </row>
    <row r="16" spans="1:13" x14ac:dyDescent="0.25">
      <c r="B16" s="1">
        <f>(C14+(2*D14))*E16</f>
        <v>17632.083647365173</v>
      </c>
      <c r="C16" s="3">
        <f>0.05*(B16/E16)+(1-0.05)*(C15+D15)</f>
        <v>60411.880560393634</v>
      </c>
      <c r="D16">
        <f>0.1*(C13-C12)+(1-0.1)*B15</f>
        <v>10836.293432788165</v>
      </c>
      <c r="E16">
        <f>0.1*(B12/C12)+(1-0.1)*E12</f>
        <v>0.68250055450016889</v>
      </c>
      <c r="F16" s="1">
        <f>(C14+(2*D14))*E16</f>
        <v>17632.083647365173</v>
      </c>
    </row>
    <row r="17" spans="2:6" x14ac:dyDescent="0.25">
      <c r="B17" s="1">
        <f>(C14+(3*D14))*E17</f>
        <v>30923.70191155891</v>
      </c>
      <c r="C17" s="3">
        <f>0.05*(B17/E17)+(1-0.05)*(C16+D16)</f>
        <v>69004.039089656886</v>
      </c>
      <c r="D17">
        <f>0.1*(C14-C13)+(1-0.1)*B16</f>
        <v>15921.180589597441</v>
      </c>
      <c r="E17">
        <f>0.1*(B13/C13)+(1-0.1)*E13</f>
        <v>1.172886163793984</v>
      </c>
      <c r="F17" s="1">
        <f>(C14+(3*D14))*E17</f>
        <v>30923.70191155891</v>
      </c>
    </row>
    <row r="18" spans="2:6" x14ac:dyDescent="0.25">
      <c r="B18" s="1">
        <f>(C14+(4*D14))*E18</f>
        <v>44786.114980432772</v>
      </c>
      <c r="C18" s="3">
        <f>0.05*(B18/E18)+(1-0.05)*(C17+D17)</f>
        <v>82023.779597295346</v>
      </c>
      <c r="D18">
        <f>0.1*(C15-C14)+(1-0.1)*B17</f>
        <v>27884.425932142167</v>
      </c>
      <c r="E18">
        <f>0.1*(B14/C14)+(1-0.1)*E14</f>
        <v>1.6651330639530733</v>
      </c>
      <c r="F18" s="1">
        <f>(C14+(4*D14))*E18</f>
        <v>44786.114980432772</v>
      </c>
    </row>
    <row r="19" spans="2:6" x14ac:dyDescent="0.25">
      <c r="B19" s="1">
        <f>(C14+(5*D14))*E19</f>
        <v>12967.338220690779</v>
      </c>
      <c r="C19" s="3">
        <f>0.05*(B19/E19)+(1-0.05)*(C18+D18)</f>
        <v>105784.16326083895</v>
      </c>
      <c r="D19">
        <f>0.1*(C16-C15)+(1-0.1)*B18</f>
        <v>43818.332369638803</v>
      </c>
      <c r="E19">
        <f>0.1*(B15/C15)+(1-0.1)*E15</f>
        <v>0.47278841807022126</v>
      </c>
      <c r="F19" s="1">
        <f>(C14+(5*D14))*E19</f>
        <v>12967.338220690779</v>
      </c>
    </row>
    <row r="20" spans="2:6" x14ac:dyDescent="0.25">
      <c r="B20" s="1">
        <f>(C14+(6*D14))*E20</f>
        <v>17989.404731792853</v>
      </c>
      <c r="C20" s="3">
        <f>0.05*(B20/E20)+(1-0.05)*(C19+D19)</f>
        <v>143520.28596269677</v>
      </c>
      <c r="D20">
        <f>0.1*(C17-C16)+(1-0.1)*B19</f>
        <v>12529.820251548026</v>
      </c>
      <c r="E20">
        <f>0.1*(B16/C16)+(1-0.1)*E16</f>
        <v>0.64343694960227216</v>
      </c>
      <c r="F20" s="1">
        <f>(C14+(6*D14))*E20</f>
        <v>17989.404731792853</v>
      </c>
    </row>
    <row r="21" spans="2:6" x14ac:dyDescent="0.25">
      <c r="B21" s="1">
        <f>(C14+(7*D14))*E21</f>
        <v>31349.903077922252</v>
      </c>
      <c r="C21" s="3">
        <f>0.05*(B21/E21)+(1-0.05)*(C20+D20)</f>
        <v>149672.06312314502</v>
      </c>
      <c r="D21">
        <f>0.1*(C18-C17)+(1-0.1)*B20</f>
        <v>17492.438309377412</v>
      </c>
      <c r="E21">
        <f>0.1*(B17/C17)+(1-0.1)*E17</f>
        <v>1.1004118833861072</v>
      </c>
      <c r="F21" s="1">
        <f>(C14+(7*D14))*E21</f>
        <v>31349.903077922252</v>
      </c>
    </row>
    <row r="22" spans="2:6" x14ac:dyDescent="0.25">
      <c r="B22" s="1">
        <f>(C14+(8*D14))*E22</f>
        <v>45074.767081137106</v>
      </c>
      <c r="C22" s="3">
        <f>0.05*(B22/E22)+(1-0.05)*(C21+D21)</f>
        <v>160257.28568637834</v>
      </c>
      <c r="D22">
        <f>0.1*(C19-C18)+(1-0.1)*B21</f>
        <v>30590.951136484389</v>
      </c>
      <c r="E22">
        <f>0.1*(B18/C18)+(1-0.1)*E18</f>
        <v>1.5532211368167017</v>
      </c>
      <c r="F22" s="1">
        <f>(C14+(8*D14))*E22</f>
        <v>45074.767081137106</v>
      </c>
    </row>
    <row r="23" spans="2:6" x14ac:dyDescent="0.25">
      <c r="B23" s="1">
        <f>(C14+(9*D14))*E23</f>
        <v>12936.534768156434</v>
      </c>
      <c r="C23" s="3">
        <f>0.05*(B23/E23)+(1-0.05)*(C22+D22)</f>
        <v>182783.38141307118</v>
      </c>
      <c r="D23">
        <f>0.1*(C20-C19)+(1-0.1)*B22</f>
        <v>44340.902643209178</v>
      </c>
      <c r="E23">
        <f>0.1*(B19/C19)+(1-0.1)*E19</f>
        <v>0.4377678745008251</v>
      </c>
      <c r="F23" s="1">
        <f>(C14+(9*D14))*E23</f>
        <v>12936.534768156434</v>
      </c>
    </row>
    <row r="24" spans="2:6" x14ac:dyDescent="0.25">
      <c r="B24" s="1">
        <f>(C14+(10*D14))*E24</f>
        <v>17797.384919548687</v>
      </c>
      <c r="C24" s="3">
        <f>0.05*(B24/E24)+(1-0.05)*(C23+D23)</f>
        <v>217272.1733906875</v>
      </c>
      <c r="D24">
        <f>0.1*(C21-C20)+(1-0.1)*B23</f>
        <v>12258.059007385616</v>
      </c>
      <c r="E24">
        <f>0.1*(B20/C20)+(1-0.1)*E20</f>
        <v>0.59162765325414679</v>
      </c>
      <c r="F24" s="1">
        <f>(C14+(10*D14))*E24</f>
        <v>17797.384919548687</v>
      </c>
    </row>
    <row r="25" spans="2:6" x14ac:dyDescent="0.25">
      <c r="B25" s="1">
        <f>(C14+(11*D14))*E25</f>
        <v>30959.442662930585</v>
      </c>
      <c r="C25" s="3">
        <f>0.05*(B25/E25)+(1-0.05)*(C24+D24)</f>
        <v>219584.37142126024</v>
      </c>
      <c r="D25">
        <f>0.1*(C22-C21)+(1-0.1)*B24</f>
        <v>17076.168683917153</v>
      </c>
      <c r="E25">
        <f>0.1*(B21/C21)+(1-0.1)*E21</f>
        <v>1.0113164229433755</v>
      </c>
      <c r="F25" s="1">
        <f>(C14+(11*D14))*E25</f>
        <v>30959.442662930585</v>
      </c>
    </row>
    <row r="26" spans="2:6" x14ac:dyDescent="0.25">
      <c r="B26" s="1">
        <f>(C14+(12*D14))*E26</f>
        <v>44412.074723249527</v>
      </c>
      <c r="C26" s="3">
        <f>0.05*(B26/E26)+(1-0.05)*(C25+D25)</f>
        <v>226384.71084887884</v>
      </c>
      <c r="D26">
        <f>0.1*(C23-C22)+(1-0.1)*B25</f>
        <v>30116.10796930681</v>
      </c>
      <c r="E26">
        <f>0.1*(B22/C22)+(1-0.1)*E22</f>
        <v>1.4260255241475022</v>
      </c>
      <c r="F26" s="1">
        <f>(C14+(12*D14))*E26</f>
        <v>44412.074723249527</v>
      </c>
    </row>
    <row r="27" spans="2:6" x14ac:dyDescent="0.25">
      <c r="E27">
        <f>0.1*(B23/C23)+(1-0.1)*E23</f>
        <v>0.40106860945357048</v>
      </c>
    </row>
    <row r="28" spans="2:6" x14ac:dyDescent="0.25">
      <c r="E28">
        <f>0.1*(B24/C24)+(1-0.1)*E24</f>
        <v>0.54065617383608411</v>
      </c>
    </row>
    <row r="29" spans="2:6" x14ac:dyDescent="0.25">
      <c r="E29">
        <f>0.1*(B25/C25)+(1-0.1)*E25</f>
        <v>0.92428389091929331</v>
      </c>
    </row>
    <row r="30" spans="2:6" x14ac:dyDescent="0.25">
      <c r="E30">
        <f>0.1*(B26/C26)+(1-0.1)*E26</f>
        <v>1.3030409373439085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2019-03-06T14:22:53Z</dcterms:modified>
</cp:coreProperties>
</file>