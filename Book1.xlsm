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s="1"/>
  <c r="B10" i="7" l="1"/>
  <c r="B6" i="7"/>
  <c r="B8" i="7"/>
  <c r="B7" i="7"/>
  <c r="B9" i="7" s="1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<sst xmlns="http://schemas.openxmlformats.org/spreadsheetml/2006/main" count="101" uniqueCount="55">
  <si>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</si>
  <si>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</si>
  <si>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</si>
  <si>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</si>
  <si>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</si>
  <si>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</si>
  <si>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</si>
  <si>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</si>
  <si>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</si>
  <si>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</si>
  <si>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</si>
  <si>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</si>
  <si>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</si>
  <si>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</si>
  <si>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</si>
  <si>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</si>
  <si>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</si>
  <si>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</si>
  <si>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</si>
  <si>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</si>
  <si>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</si>
  <si>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</si>
  <si>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</si>
  <si>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</si>
  <si>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</si>
  <si>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</si>
  <si>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</si>
  <si>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</si>
  <si>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</si>
  <si>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</si>
  <si>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</si>
  <si>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</si>
  <si>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</si>
  <si>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</si>
  <si>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</si>
  <si>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</si>
  <si>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</si>
  <si>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</si>
  <si>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</si>
  <si>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</si>
  <si>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</si>
  <si>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Unit  Cost</t>
  </si>
  <si>
    <t>Shipping Order Cost</t>
  </si>
  <si>
    <t>Lead Time (weeks)</t>
  </si>
  <si>
    <t>Holding Order Cost (%)</t>
  </si>
  <si>
    <t>Cycle Inventory Parameters</t>
  </si>
  <si>
    <t>Safety inventory Parameters</t>
  </si>
  <si>
    <t>Desired Safety Inventory (%)</t>
  </si>
  <si>
    <t>Forecast Parameters</t>
  </si>
  <si>
    <t>Alpha Value : Simple Exponential Smoothing</t>
  </si>
  <si>
    <t>Alpha Value : Holt Trend Smoothing</t>
  </si>
  <si>
    <t>Beta Value : Holt Trend Smoothing</t>
  </si>
  <si>
    <t>Alpha Value : Winter Smoothing</t>
  </si>
  <si>
    <t>Beta Value: Winter Smoothing</t>
  </si>
  <si>
    <t>Gamma Value: Winter Smoothing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</si>
</sst>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F18" sqref="F18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48</v>
      </c>
      <c r="G1" s="4" t="s">
        <v>20</v>
      </c>
      <c r="H1" s="4" t="s">
        <v>22</v>
      </c>
      <c r="I1" s="4" t="s">
        <v>21</v>
      </c>
      <c r="J1" s="4" t="s">
        <v>23</v>
      </c>
      <c r="K1" s="4" t="s">
        <v>24</v>
      </c>
    </row>
    <row r="2" spans="1:11" x14ac:dyDescent="0.25">
      <c r="A2">
        <v>1</v>
      </c>
      <c r="B2">
        <v>11750</v>
      </c>
      <c r="C2">
        <v>4</v>
      </c>
      <c r="D2" s="6" t="s">
        <v>49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50</v>
      </c>
      <c r="E4" s="7" t="s">
        <v>51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52</v>
      </c>
      <c r="E6" s="7" t="s">
        <v>53</v>
      </c>
      <c r="F6" s="5" t="s">
        <v>54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45</v>
      </c>
    </row>
    <row r="9" spans="1:11" x14ac:dyDescent="0.25">
      <c r="A9">
        <v>8</v>
      </c>
      <c r="B9">
        <v>17166.669999999998</v>
      </c>
      <c r="D9" s="6" t="s">
        <v>41</v>
      </c>
      <c r="E9" s="7" t="s">
        <v>42</v>
      </c>
      <c r="F9" s="8" t="s">
        <v>44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46</v>
      </c>
    </row>
    <row r="12" spans="1:11" x14ac:dyDescent="0.25">
      <c r="A12">
        <v>11</v>
      </c>
      <c r="B12">
        <v>26166.67</v>
      </c>
      <c r="D12" s="6" t="s">
        <v>47</v>
      </c>
      <c r="E12" s="10" t="s">
        <v>43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 t="shared" ref="E2:E13" si="0">15575+B2*446</f>
        <v>16021</v>
      </c>
      <c r="F2">
        <f t="shared" ref="F2:F13" si="1">C2/E2</f>
        <v>0.73341239622994814</v>
      </c>
      <c r="G2">
        <f>SUM(F2,F6,F10,)/3</f>
        <v>0.72607706521852988</v>
      </c>
      <c r="H2">
        <f>E2*G2</f>
        <v>11632.480661866068</v>
      </c>
      <c r="I2">
        <f t="shared" ref="I2:I13" si="2">H2-C2</f>
        <v>-117.51933813393225</v>
      </c>
      <c r="J2">
        <f t="shared" ref="J2:J13" si="3">ABS(I2)</f>
        <v>117.51933813393225</v>
      </c>
      <c r="K2">
        <f>SUMSQ($I$2:I2)/1</f>
        <v>13810.794835437504</v>
      </c>
      <c r="L2">
        <f>SUM($J$2:J2)/1</f>
        <v>117.51933813393225</v>
      </c>
      <c r="M2">
        <f t="shared" ref="M2:M13" si="4"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 t="shared" si="0"/>
        <v>16467</v>
      </c>
      <c r="F3">
        <f t="shared" si="1"/>
        <v>1.1234590392907027</v>
      </c>
      <c r="G3">
        <f>SUM(F3,F7,F11,)/3</f>
        <v>1.1060603093713042</v>
      </c>
      <c r="H3">
        <f>E3*G3</f>
        <v>18213.495114417266</v>
      </c>
      <c r="I3">
        <f t="shared" si="2"/>
        <v>-286.50488558273355</v>
      </c>
      <c r="J3">
        <f t="shared" si="3"/>
        <v>286.50488558273355</v>
      </c>
      <c r="K3">
        <f>SUMSQ($I$2:I3)/2</f>
        <v>47947.92214910638</v>
      </c>
      <c r="L3">
        <f>SUM($J$2:J3)/2</f>
        <v>202.0121118583329</v>
      </c>
      <c r="M3">
        <f t="shared" si="4"/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 t="shared" ref="D4:D11" si="5">(C2+C6+2*SUM(C3:C5))/8</f>
        <v>16906.25</v>
      </c>
      <c r="E4">
        <f t="shared" si="0"/>
        <v>16913</v>
      </c>
      <c r="F4">
        <f t="shared" si="1"/>
        <v>1.3204830603677646</v>
      </c>
      <c r="G4">
        <f>SUM(F4,F8,F12,)/3</f>
        <v>1.3028202528340822</v>
      </c>
      <c r="H4">
        <f>E4*G4</f>
        <v>22034.598936182832</v>
      </c>
      <c r="I4">
        <f t="shared" si="2"/>
        <v>-298.73106381716934</v>
      </c>
      <c r="J4">
        <f t="shared" si="3"/>
        <v>298.73106381716934</v>
      </c>
      <c r="K4">
        <f>SUMSQ($I$2:I4)/3</f>
        <v>61712.030929183493</v>
      </c>
      <c r="L4">
        <f>SUM($J$2:J4)/3</f>
        <v>234.25176251127837</v>
      </c>
      <c r="M4">
        <f t="shared" si="4"/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 t="shared" si="5"/>
        <v>17270.833749999998</v>
      </c>
      <c r="E5">
        <f t="shared" si="0"/>
        <v>17359</v>
      </c>
      <c r="F5">
        <f t="shared" si="1"/>
        <v>0.8305011809436027</v>
      </c>
      <c r="G5">
        <f>SUM(F5,F9,F13,)/3</f>
        <v>0.86777396714093913</v>
      </c>
      <c r="H5">
        <f>E5*G5</f>
        <v>15063.688295599562</v>
      </c>
      <c r="I5">
        <f t="shared" si="2"/>
        <v>647.01829559956241</v>
      </c>
      <c r="J5">
        <f t="shared" si="3"/>
        <v>647.01829559956241</v>
      </c>
      <c r="K5">
        <f>SUMSQ($I$2:I5)/4</f>
        <v>150942.19190702832</v>
      </c>
      <c r="L5">
        <f>SUM($J$2:J5)/4</f>
        <v>337.44339578334939</v>
      </c>
      <c r="M5">
        <f t="shared" si="4"/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 t="shared" si="5"/>
        <v>17750.001250000001</v>
      </c>
      <c r="E6">
        <f t="shared" si="0"/>
        <v>17805</v>
      </c>
      <c r="F6">
        <f t="shared" si="1"/>
        <v>0.73013198539736024</v>
      </c>
      <c r="H6">
        <f>E6*G2</f>
        <v>12927.802146215925</v>
      </c>
      <c r="I6">
        <f t="shared" si="2"/>
        <v>-72.19785378407505</v>
      </c>
      <c r="J6">
        <f t="shared" si="3"/>
        <v>72.19785378407505</v>
      </c>
      <c r="K6">
        <f>SUMSQ($I$2:I6)/5</f>
        <v>121796.259543828</v>
      </c>
      <c r="L6">
        <f>SUM($J$2:J6)/5</f>
        <v>284.39428738349454</v>
      </c>
      <c r="M6">
        <f t="shared" si="4"/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 t="shared" si="5"/>
        <v>18364.584999999999</v>
      </c>
      <c r="E7">
        <f t="shared" si="0"/>
        <v>18251</v>
      </c>
      <c r="F7">
        <f t="shared" si="1"/>
        <v>1.104962467809983</v>
      </c>
      <c r="H7">
        <f>E7*G3</f>
        <v>20186.706706335674</v>
      </c>
      <c r="I7">
        <f t="shared" si="2"/>
        <v>20.036706335675262</v>
      </c>
      <c r="J7">
        <f t="shared" si="3"/>
        <v>20.036706335675262</v>
      </c>
      <c r="K7">
        <f>SUMSQ($I$2:I7)/6</f>
        <v>101563.79455332033</v>
      </c>
      <c r="L7">
        <f>SUM($J$2:J7)/6</f>
        <v>240.33469054219131</v>
      </c>
      <c r="M7">
        <f t="shared" si="4"/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 t="shared" si="5"/>
        <v>18833.334999999999</v>
      </c>
      <c r="E8">
        <f t="shared" si="0"/>
        <v>18697</v>
      </c>
      <c r="F8">
        <f t="shared" si="1"/>
        <v>1.3103706476974917</v>
      </c>
      <c r="H8">
        <f>E8*G4</f>
        <v>24358.830267238834</v>
      </c>
      <c r="I8">
        <f t="shared" si="2"/>
        <v>-141.16973276116551</v>
      </c>
      <c r="J8">
        <f t="shared" si="3"/>
        <v>141.16973276116551</v>
      </c>
      <c r="K8">
        <f>SUMSQ($I$2:I8)/7</f>
        <v>89901.665823968695</v>
      </c>
      <c r="L8">
        <f>SUM($J$2:J8)/7</f>
        <v>226.16826800204475</v>
      </c>
      <c r="M8">
        <f t="shared" si="4"/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 t="shared" si="5"/>
        <v>19166.6675</v>
      </c>
      <c r="E9">
        <f t="shared" si="0"/>
        <v>19143</v>
      </c>
      <c r="F9">
        <f t="shared" si="1"/>
        <v>0.8967596510473802</v>
      </c>
      <c r="H9">
        <f>E9*G5</f>
        <v>16611.797052978996</v>
      </c>
      <c r="I9">
        <f t="shared" si="2"/>
        <v>-554.87294702100189</v>
      </c>
      <c r="J9">
        <f t="shared" si="3"/>
        <v>554.87294702100189</v>
      </c>
      <c r="K9">
        <f>SUMSQ($I$2:I9)/8</f>
        <v>117149.45601294405</v>
      </c>
      <c r="L9">
        <f>SUM($J$2:J9)/8</f>
        <v>267.25635287941441</v>
      </c>
      <c r="M9">
        <f t="shared" si="4"/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 t="shared" si="5"/>
        <v>19583.333749999998</v>
      </c>
      <c r="E10">
        <f t="shared" si="0"/>
        <v>19589</v>
      </c>
      <c r="F10">
        <f t="shared" si="1"/>
        <v>0.71468681402828116</v>
      </c>
      <c r="H10">
        <f>E10*G2</f>
        <v>14223.123630565782</v>
      </c>
      <c r="I10">
        <f t="shared" si="2"/>
        <v>223.12363056578215</v>
      </c>
      <c r="J10">
        <f t="shared" si="3"/>
        <v>223.12363056578215</v>
      </c>
      <c r="K10">
        <f>SUMSQ($I$2:I10)/9</f>
        <v>109664.42251337867</v>
      </c>
      <c r="L10">
        <f>SUM($J$2:J10)/9</f>
        <v>262.35271706678861</v>
      </c>
      <c r="M10">
        <f t="shared" si="4"/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 t="shared" si="5"/>
        <v>19937.5</v>
      </c>
      <c r="E11">
        <f t="shared" si="0"/>
        <v>20035</v>
      </c>
      <c r="F11">
        <f t="shared" si="1"/>
        <v>1.0897594210132269</v>
      </c>
      <c r="H11">
        <f>E11*G3</f>
        <v>22159.918298254081</v>
      </c>
      <c r="I11">
        <f t="shared" si="2"/>
        <v>326.58829825407884</v>
      </c>
      <c r="J11">
        <f t="shared" si="3"/>
        <v>326.58829825407884</v>
      </c>
      <c r="K11">
        <f>SUMSQ($I$2:I11)/10</f>
        <v>109363.97191769032</v>
      </c>
      <c r="L11">
        <f>SUM($J$2:J11)/10</f>
        <v>268.77627518551765</v>
      </c>
      <c r="M11">
        <f t="shared" si="4"/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 t="shared" si="0"/>
        <v>20481</v>
      </c>
      <c r="F12">
        <f t="shared" si="1"/>
        <v>1.2776070504369903</v>
      </c>
      <c r="H12">
        <f>E12*G4</f>
        <v>26683.061598294837</v>
      </c>
      <c r="I12">
        <f t="shared" si="2"/>
        <v>516.39159829483833</v>
      </c>
      <c r="J12">
        <f t="shared" si="3"/>
        <v>516.39159829483833</v>
      </c>
      <c r="K12">
        <f>SUMSQ($I$2:I12)/11</f>
        <v>123663.63654240007</v>
      </c>
      <c r="L12">
        <f>SUM($J$2:J12)/11</f>
        <v>291.28675910454677</v>
      </c>
      <c r="M12">
        <f t="shared" si="4"/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 t="shared" si="0"/>
        <v>20927</v>
      </c>
      <c r="F13">
        <f t="shared" si="1"/>
        <v>0.87606106943183459</v>
      </c>
      <c r="H13">
        <f>E13*G5</f>
        <v>18159.905810358432</v>
      </c>
      <c r="I13">
        <f t="shared" si="2"/>
        <v>-173.42418964156968</v>
      </c>
      <c r="J13">
        <f t="shared" si="3"/>
        <v>173.42418964156968</v>
      </c>
      <c r="K13">
        <f>SUMSQ($I$2:I13)/12</f>
        <v>115864.66262660299</v>
      </c>
      <c r="L13">
        <f>SUM($J$2:J13)/12</f>
        <v>281.46487831596534</v>
      </c>
      <c r="M13">
        <f t="shared" si="4"/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 t="shared" ref="C5:C13" si="0">AVERAGE(B2:B5)</f>
        <v>16750</v>
      </c>
    </row>
    <row r="6" spans="1:11" x14ac:dyDescent="0.25">
      <c r="A6">
        <v>5</v>
      </c>
      <c r="B6">
        <v>13000</v>
      </c>
      <c r="C6">
        <f t="shared" si="0"/>
        <v>17062.5</v>
      </c>
      <c r="D6">
        <f t="shared" ref="D6:D14" si="1">C5</f>
        <v>16750</v>
      </c>
      <c r="E6">
        <f t="shared" ref="E6:E13" si="2">D6-B6</f>
        <v>3750</v>
      </c>
      <c r="F6">
        <f t="shared" ref="F6:F13" si="3">ABS(E6)</f>
        <v>3750</v>
      </c>
      <c r="G6">
        <f>SUMSQ($E$6:E6)/1</f>
        <v>14062500</v>
      </c>
      <c r="H6">
        <f>SUM($F$6:F6)/1</f>
        <v>3750</v>
      </c>
      <c r="I6">
        <f t="shared" ref="I6:I13" si="4"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 t="shared" si="0"/>
        <v>17479.1675</v>
      </c>
      <c r="D7">
        <f t="shared" si="1"/>
        <v>17062.5</v>
      </c>
      <c r="E7">
        <f t="shared" si="2"/>
        <v>-3104.1699999999983</v>
      </c>
      <c r="F7">
        <f t="shared" si="3"/>
        <v>3104.1699999999983</v>
      </c>
      <c r="G7">
        <f>SUMSQ($E$6:E7)/2</f>
        <v>11849185.694449995</v>
      </c>
      <c r="H7">
        <f>SUM($F$6:F7)/2</f>
        <v>3427.0849999999991</v>
      </c>
      <c r="I7">
        <f t="shared" si="4"/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 t="shared" si="0"/>
        <v>18020.834999999999</v>
      </c>
      <c r="D8">
        <f t="shared" si="1"/>
        <v>17479.1675</v>
      </c>
      <c r="E8">
        <f t="shared" si="2"/>
        <v>-7020.8325000000004</v>
      </c>
      <c r="F8">
        <f t="shared" si="3"/>
        <v>7020.8325000000004</v>
      </c>
      <c r="G8">
        <f>SUMSQ($E$6:E8)/3</f>
        <v>24330153.460652083</v>
      </c>
      <c r="H8">
        <f>SUM($F$6:F8)/3</f>
        <v>4625.0008333333326</v>
      </c>
      <c r="I8">
        <f t="shared" si="4"/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 t="shared" si="0"/>
        <v>18708.334999999999</v>
      </c>
      <c r="D9">
        <f t="shared" si="1"/>
        <v>18020.834999999999</v>
      </c>
      <c r="E9">
        <f t="shared" si="2"/>
        <v>854.16500000000087</v>
      </c>
      <c r="F9">
        <f t="shared" si="3"/>
        <v>854.16500000000087</v>
      </c>
      <c r="G9">
        <f>SUMSQ($E$6:E9)/4</f>
        <v>18430014.557295311</v>
      </c>
      <c r="H9">
        <f>SUM($F$6:F9)/4</f>
        <v>3682.2918749999999</v>
      </c>
      <c r="I9">
        <f t="shared" si="4"/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 t="shared" si="0"/>
        <v>18958.334999999999</v>
      </c>
      <c r="D10">
        <f t="shared" si="1"/>
        <v>18708.334999999999</v>
      </c>
      <c r="E10">
        <f t="shared" si="2"/>
        <v>4708.3349999999991</v>
      </c>
      <c r="F10">
        <f t="shared" si="3"/>
        <v>4708.3349999999991</v>
      </c>
      <c r="G10">
        <f>SUMSQ($E$6:E10)/5</f>
        <v>19177695.340281248</v>
      </c>
      <c r="H10">
        <f>SUM($F$6:F10)/5</f>
        <v>3887.5004999999996</v>
      </c>
      <c r="I10">
        <f t="shared" si="4"/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 t="shared" si="0"/>
        <v>19375</v>
      </c>
      <c r="D11">
        <f t="shared" si="1"/>
        <v>18958.334999999999</v>
      </c>
      <c r="E11">
        <f t="shared" si="2"/>
        <v>-2874.9950000000026</v>
      </c>
      <c r="F11">
        <f t="shared" si="3"/>
        <v>2874.9950000000026</v>
      </c>
      <c r="G11">
        <f>SUMSQ($E$6:E11)/6</f>
        <v>17359012.158571877</v>
      </c>
      <c r="H11">
        <f>SUM($F$6:F11)/6</f>
        <v>3718.7495833333337</v>
      </c>
      <c r="I11">
        <f t="shared" si="4"/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 t="shared" si="0"/>
        <v>19791.6675</v>
      </c>
      <c r="D12">
        <f t="shared" si="1"/>
        <v>19375</v>
      </c>
      <c r="E12">
        <f t="shared" si="2"/>
        <v>-6791.6699999999983</v>
      </c>
      <c r="F12">
        <f t="shared" si="3"/>
        <v>6791.6699999999983</v>
      </c>
      <c r="G12">
        <f>SUMSQ($E$6:E12)/7</f>
        <v>21468693.477190174</v>
      </c>
      <c r="H12">
        <f>SUM($F$6:F12)/7</f>
        <v>4157.7382142857141</v>
      </c>
      <c r="I12">
        <f t="shared" si="4"/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 t="shared" si="0"/>
        <v>20083.3325</v>
      </c>
      <c r="D13">
        <f t="shared" si="1"/>
        <v>19791.6675</v>
      </c>
      <c r="E13">
        <f t="shared" si="2"/>
        <v>1458.3374999999978</v>
      </c>
      <c r="F13">
        <f t="shared" si="3"/>
        <v>1458.3374999999978</v>
      </c>
      <c r="G13">
        <f>SUMSQ($E$6:E13)/8</f>
        <v>19050950.325529683</v>
      </c>
      <c r="H13">
        <f>SUM($F$6:F13)/8</f>
        <v>3820.3131249999997</v>
      </c>
      <c r="I13">
        <f t="shared" si="4"/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 t="shared" ref="C3:C14" si="0">0.1*B3+(1-0.1)*C2</f>
        <v>17837.500249999997</v>
      </c>
      <c r="D3">
        <f t="shared" ref="D3:D15" si="1">C2</f>
        <v>18513.889166666664</v>
      </c>
      <c r="E3">
        <f t="shared" ref="E3:E14" si="2">D3-B3</f>
        <v>6763.8891666666641</v>
      </c>
      <c r="F3">
        <f t="shared" ref="F3:F14" si="3">ABS(E3)</f>
        <v>6763.8891666666641</v>
      </c>
      <c r="G3">
        <f>SUMSQ($E$3:E3)/1</f>
        <v>45750196.658950657</v>
      </c>
      <c r="H3">
        <f>SUM($F$3:F3)/1</f>
        <v>6763.8891666666641</v>
      </c>
      <c r="I3">
        <f t="shared" ref="I3:I14" si="4"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 t="shared" si="0"/>
        <v>17903.750224999996</v>
      </c>
      <c r="D4">
        <f t="shared" si="1"/>
        <v>17837.500249999997</v>
      </c>
      <c r="E4">
        <f t="shared" si="2"/>
        <v>-662.49975000000268</v>
      </c>
      <c r="F4">
        <f t="shared" si="3"/>
        <v>662.49975000000268</v>
      </c>
      <c r="G4">
        <f>SUMSQ($E$3:E4)/2</f>
        <v>23094551.28885036</v>
      </c>
      <c r="H4">
        <f>SUM($F$3:F4)/2</f>
        <v>3713.1944583333334</v>
      </c>
      <c r="I4">
        <f t="shared" si="4"/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 t="shared" si="0"/>
        <v>18346.708202499998</v>
      </c>
      <c r="D5">
        <f t="shared" si="1"/>
        <v>17903.750224999996</v>
      </c>
      <c r="E5">
        <f t="shared" si="2"/>
        <v>-4429.5797750000056</v>
      </c>
      <c r="F5">
        <f t="shared" si="3"/>
        <v>4429.5797750000056</v>
      </c>
      <c r="G5">
        <f>SUMSQ($E$3:E5)/3</f>
        <v>21936759.853596609</v>
      </c>
      <c r="H5">
        <f>SUM($F$3:F5)/3</f>
        <v>3951.9895638888906</v>
      </c>
      <c r="I5">
        <f t="shared" si="4"/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 t="shared" si="0"/>
        <v>17953.704382250002</v>
      </c>
      <c r="D6">
        <f t="shared" si="1"/>
        <v>18346.708202499998</v>
      </c>
      <c r="E6">
        <f t="shared" si="2"/>
        <v>3930.0382024999981</v>
      </c>
      <c r="F6">
        <f t="shared" si="3"/>
        <v>3930.0382024999981</v>
      </c>
      <c r="G6">
        <f>SUMSQ($E$3:E6)/4</f>
        <v>20313869.958474811</v>
      </c>
      <c r="H6">
        <f>SUM($F$3:F6)/4</f>
        <v>3946.5017235416676</v>
      </c>
      <c r="I6">
        <f t="shared" si="4"/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 t="shared" si="0"/>
        <v>17458.333944025002</v>
      </c>
      <c r="D7">
        <f t="shared" si="1"/>
        <v>17953.704382250002</v>
      </c>
      <c r="E7">
        <f t="shared" si="2"/>
        <v>4953.7043822500018</v>
      </c>
      <c r="F7">
        <f t="shared" si="3"/>
        <v>4953.7043822500018</v>
      </c>
      <c r="G7">
        <f>SUMSQ($E$3:E7)/5</f>
        <v>21158933.388124425</v>
      </c>
      <c r="H7">
        <f>SUM($F$3:F7)/5</f>
        <v>4147.9422552833348</v>
      </c>
      <c r="I7">
        <f t="shared" si="4"/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 t="shared" si="0"/>
        <v>17729.167549622503</v>
      </c>
      <c r="D8">
        <f t="shared" si="1"/>
        <v>17458.333944025002</v>
      </c>
      <c r="E8">
        <f t="shared" si="2"/>
        <v>-2708.3360559749963</v>
      </c>
      <c r="F8">
        <f t="shared" si="3"/>
        <v>2708.3360559749963</v>
      </c>
      <c r="G8">
        <f>SUMSQ($E$3:E8)/6</f>
        <v>18854958.522119384</v>
      </c>
      <c r="H8">
        <f>SUM($F$3:F8)/6</f>
        <v>3908.0078887319451</v>
      </c>
      <c r="I8">
        <f t="shared" si="4"/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 t="shared" si="0"/>
        <v>18406.250794660253</v>
      </c>
      <c r="D9">
        <f t="shared" si="1"/>
        <v>17729.167549622503</v>
      </c>
      <c r="E9">
        <f t="shared" si="2"/>
        <v>-6770.8324503774966</v>
      </c>
      <c r="F9">
        <f t="shared" si="3"/>
        <v>6770.8324503774966</v>
      </c>
      <c r="G9">
        <f>SUMSQ($E$3:E9)/7</f>
        <v>22710560.457685892</v>
      </c>
      <c r="H9">
        <f>SUM($F$3:F9)/7</f>
        <v>4316.982826109881</v>
      </c>
      <c r="I9">
        <f t="shared" si="4"/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 t="shared" si="0"/>
        <v>18282.292715194228</v>
      </c>
      <c r="D10">
        <f t="shared" si="1"/>
        <v>18406.250794660253</v>
      </c>
      <c r="E10">
        <f t="shared" si="2"/>
        <v>1239.5807946602545</v>
      </c>
      <c r="F10">
        <f t="shared" si="3"/>
        <v>1239.5807946602545</v>
      </c>
      <c r="G10">
        <f>SUMSQ($E$3:E10)/8</f>
        <v>20063810.468786474</v>
      </c>
      <c r="H10">
        <f>SUM($F$3:F10)/8</f>
        <v>3932.3075721786777</v>
      </c>
      <c r="I10">
        <f t="shared" si="4"/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 t="shared" si="0"/>
        <v>17854.063443674804</v>
      </c>
      <c r="D11">
        <f t="shared" si="1"/>
        <v>18282.292715194228</v>
      </c>
      <c r="E11">
        <f t="shared" si="2"/>
        <v>4282.2927151942276</v>
      </c>
      <c r="F11">
        <f t="shared" si="3"/>
        <v>4282.2927151942276</v>
      </c>
      <c r="G11">
        <f>SUMSQ($E$3:E11)/9</f>
        <v>19872057.183210816</v>
      </c>
      <c r="H11">
        <f>SUM($F$3:F11)/9</f>
        <v>3971.1948102915162</v>
      </c>
      <c r="I11">
        <f t="shared" si="4"/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 t="shared" si="0"/>
        <v>18251.990099307324</v>
      </c>
      <c r="D12">
        <f t="shared" si="1"/>
        <v>17854.063443674804</v>
      </c>
      <c r="E12">
        <f t="shared" si="2"/>
        <v>-3979.2665563251976</v>
      </c>
      <c r="F12">
        <f t="shared" si="3"/>
        <v>3979.2665563251976</v>
      </c>
      <c r="G12">
        <f>SUMSQ($E$3:E12)/10</f>
        <v>19468307.697518554</v>
      </c>
      <c r="H12">
        <f>SUM($F$3:F12)/10</f>
        <v>3972.0019848948841</v>
      </c>
      <c r="I12">
        <f t="shared" si="4"/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 t="shared" si="0"/>
        <v>19043.458089376592</v>
      </c>
      <c r="D13">
        <f t="shared" si="1"/>
        <v>18251.990099307324</v>
      </c>
      <c r="E13">
        <f t="shared" si="2"/>
        <v>-7914.679900692674</v>
      </c>
      <c r="F13">
        <f t="shared" si="3"/>
        <v>7914.679900692674</v>
      </c>
      <c r="G13">
        <f>SUMSQ($E$3:E13)/11</f>
        <v>23393203.173237648</v>
      </c>
      <c r="H13">
        <f>SUM($F$3:F13)/11</f>
        <v>4330.4272499674107</v>
      </c>
      <c r="I13">
        <f t="shared" si="4"/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 t="shared" si="0"/>
        <v>18972.445280438933</v>
      </c>
      <c r="D14">
        <f t="shared" si="1"/>
        <v>19043.458089376592</v>
      </c>
      <c r="E14">
        <f t="shared" si="2"/>
        <v>710.12808937659065</v>
      </c>
      <c r="F14">
        <f t="shared" si="3"/>
        <v>710.12808937659065</v>
      </c>
      <c r="G14">
        <f>SUMSQ($E$3:E14)/12</f>
        <v>21485793.067411315</v>
      </c>
      <c r="H14">
        <f>SUM($F$3:F14)/12</f>
        <v>4028.7356532515091</v>
      </c>
      <c r="I14">
        <f t="shared" si="4"/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 t="shared" ref="C3:C14" si="0">0.1*B3+(1-0.1)*(C2+D2)</f>
        <v>15195.2</v>
      </c>
      <c r="D3">
        <f t="shared" ref="D3:D14" si="1">0.2*(C3-C2)+(1-0.2)*D2</f>
        <v>457.44000000000017</v>
      </c>
      <c r="E3">
        <f t="shared" ref="E3:E14" si="2">C2+D2</f>
        <v>15578</v>
      </c>
      <c r="F3">
        <f t="shared" ref="F3:F14" si="3">E3-B3</f>
        <v>3828</v>
      </c>
      <c r="G3">
        <f t="shared" ref="G3:G14" si="4">ABS(F3)</f>
        <v>3828</v>
      </c>
      <c r="H3">
        <f>SUMSQ($F$3:F3)/1</f>
        <v>14653584</v>
      </c>
      <c r="I3">
        <f>SUM($G$3:G3)/1</f>
        <v>3828</v>
      </c>
      <c r="J3">
        <f t="shared" ref="J3:J14" si="5"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 t="shared" si="0"/>
        <v>15937.376000000002</v>
      </c>
      <c r="D4">
        <f t="shared" si="1"/>
        <v>514.38720000000046</v>
      </c>
      <c r="E4">
        <f t="shared" si="2"/>
        <v>15652.640000000001</v>
      </c>
      <c r="F4">
        <f t="shared" si="3"/>
        <v>-2847.3599999999988</v>
      </c>
      <c r="G4">
        <f t="shared" si="4"/>
        <v>2847.3599999999988</v>
      </c>
      <c r="H4">
        <f>SUMSQ($F$3:F4)/2</f>
        <v>11380521.484799996</v>
      </c>
      <c r="I4">
        <f>SUM($G$3:G4)/2</f>
        <v>3337.6799999999994</v>
      </c>
      <c r="J4">
        <f t="shared" si="5"/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 t="shared" si="0"/>
        <v>17039.919880000001</v>
      </c>
      <c r="D5">
        <f t="shared" si="1"/>
        <v>632.01853600000027</v>
      </c>
      <c r="E5">
        <f t="shared" si="2"/>
        <v>16451.763200000001</v>
      </c>
      <c r="F5">
        <f t="shared" si="3"/>
        <v>-5881.5668000000005</v>
      </c>
      <c r="G5">
        <f t="shared" si="4"/>
        <v>5881.5668000000005</v>
      </c>
      <c r="H5">
        <f>SUMSQ($F$3:F5)/3</f>
        <v>19117956.997487415</v>
      </c>
      <c r="I5">
        <f>SUM($G$3:G5)/3</f>
        <v>4185.6422666666667</v>
      </c>
      <c r="J5">
        <f t="shared" si="5"/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 t="shared" si="0"/>
        <v>17346.411574400001</v>
      </c>
      <c r="D6">
        <f t="shared" si="1"/>
        <v>566.91316768000013</v>
      </c>
      <c r="E6">
        <f t="shared" si="2"/>
        <v>17671.938416000001</v>
      </c>
      <c r="F6">
        <f t="shared" si="3"/>
        <v>3255.2684160000008</v>
      </c>
      <c r="G6">
        <f t="shared" si="4"/>
        <v>3255.2684160000008</v>
      </c>
      <c r="H6">
        <f>SUMSQ($F$3:F6)/4</f>
        <v>16987660.863167349</v>
      </c>
      <c r="I6">
        <f>SUM($G$3:G6)/4</f>
        <v>3953.048804</v>
      </c>
      <c r="J6">
        <f t="shared" si="5"/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 t="shared" si="0"/>
        <v>17421.992267872</v>
      </c>
      <c r="D7">
        <f t="shared" si="1"/>
        <v>468.64667283839981</v>
      </c>
      <c r="E7">
        <f t="shared" si="2"/>
        <v>17913.32474208</v>
      </c>
      <c r="F7">
        <f t="shared" si="3"/>
        <v>4913.3247420799999</v>
      </c>
      <c r="G7">
        <f t="shared" si="4"/>
        <v>4913.3247420799999</v>
      </c>
      <c r="H7">
        <f>SUMSQ($F$3:F7)/5</f>
        <v>18418280.694760978</v>
      </c>
      <c r="I7">
        <f>SUM($G$3:G7)/5</f>
        <v>4145.1039916159998</v>
      </c>
      <c r="J7">
        <f t="shared" si="5"/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 t="shared" si="0"/>
        <v>18118.24204663936</v>
      </c>
      <c r="D8">
        <f t="shared" si="1"/>
        <v>514.16729402419196</v>
      </c>
      <c r="E8">
        <f t="shared" si="2"/>
        <v>17890.6389407104</v>
      </c>
      <c r="F8">
        <f t="shared" si="3"/>
        <v>-2276.0310592895985</v>
      </c>
      <c r="G8">
        <f t="shared" si="4"/>
        <v>2276.0310592895985</v>
      </c>
      <c r="H8">
        <f>SUMSQ($F$3:F8)/6</f>
        <v>16211953.476109304</v>
      </c>
      <c r="I8">
        <f>SUM($G$3:G8)/6</f>
        <v>3833.5918362282664</v>
      </c>
      <c r="J8">
        <f t="shared" si="5"/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 t="shared" si="0"/>
        <v>19219.168406597197</v>
      </c>
      <c r="D9">
        <f t="shared" si="1"/>
        <v>631.51910721092099</v>
      </c>
      <c r="E9">
        <f t="shared" si="2"/>
        <v>18632.409340663551</v>
      </c>
      <c r="F9">
        <f t="shared" si="3"/>
        <v>-5867.5906593364489</v>
      </c>
      <c r="G9">
        <f t="shared" si="4"/>
        <v>5867.5906593364489</v>
      </c>
      <c r="H9">
        <f>SUMSQ($F$3:F9)/7</f>
        <v>18814334.428884022</v>
      </c>
      <c r="I9">
        <f>SUM($G$3:G9)/7</f>
        <v>4124.1630966722923</v>
      </c>
      <c r="J9">
        <f t="shared" si="5"/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 t="shared" si="0"/>
        <v>19582.285762427306</v>
      </c>
      <c r="D10">
        <f t="shared" si="1"/>
        <v>577.83875693475852</v>
      </c>
      <c r="E10">
        <f t="shared" si="2"/>
        <v>19850.687513808116</v>
      </c>
      <c r="F10">
        <f t="shared" si="3"/>
        <v>2684.0175138081177</v>
      </c>
      <c r="G10">
        <f t="shared" si="4"/>
        <v>2684.0175138081177</v>
      </c>
      <c r="H10">
        <f>SUMSQ($F$3:F10)/8</f>
        <v>17363036.37707711</v>
      </c>
      <c r="I10">
        <f>SUM($G$3:G10)/8</f>
        <v>3944.1448988142706</v>
      </c>
      <c r="J10">
        <f t="shared" si="5"/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 t="shared" si="0"/>
        <v>19544.112067425856</v>
      </c>
      <c r="D11">
        <f t="shared" si="1"/>
        <v>454.63626654751698</v>
      </c>
      <c r="E11">
        <f t="shared" si="2"/>
        <v>20160.124519362063</v>
      </c>
      <c r="F11">
        <f t="shared" si="3"/>
        <v>6160.1245193620634</v>
      </c>
      <c r="G11">
        <f t="shared" si="4"/>
        <v>6160.1245193620634</v>
      </c>
      <c r="H11">
        <f>SUMSQ($F$3:F11)/9</f>
        <v>19650158.345629174</v>
      </c>
      <c r="I11">
        <f>SUM($G$3:G11)/9</f>
        <v>4190.3648566529137</v>
      </c>
      <c r="J11">
        <f t="shared" si="5"/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 t="shared" si="0"/>
        <v>20182.206500576034</v>
      </c>
      <c r="D12">
        <f t="shared" si="1"/>
        <v>491.32789986804914</v>
      </c>
      <c r="E12">
        <f t="shared" si="2"/>
        <v>19998.748333973374</v>
      </c>
      <c r="F12">
        <f t="shared" si="3"/>
        <v>-1834.5816660266282</v>
      </c>
      <c r="G12">
        <f t="shared" si="4"/>
        <v>1834.5816660266282</v>
      </c>
      <c r="H12">
        <f>SUMSQ($F$3:F12)/10</f>
        <v>18021711.499998361</v>
      </c>
      <c r="I12">
        <f>SUM($G$3:G12)/10</f>
        <v>3954.7865375902852</v>
      </c>
      <c r="J12">
        <f t="shared" si="5"/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 t="shared" si="0"/>
        <v>21222.847960399678</v>
      </c>
      <c r="D13">
        <f t="shared" si="1"/>
        <v>601.19061185916826</v>
      </c>
      <c r="E13">
        <f t="shared" si="2"/>
        <v>20673.534400444085</v>
      </c>
      <c r="F13">
        <f t="shared" si="3"/>
        <v>-5493.1355995559134</v>
      </c>
      <c r="G13">
        <f t="shared" si="4"/>
        <v>5493.1355995559134</v>
      </c>
      <c r="H13">
        <f>SUMSQ($F$3:F13)/11</f>
        <v>19126513.974099282</v>
      </c>
      <c r="I13">
        <f>SUM($G$3:G13)/11</f>
        <v>4094.6364523144334</v>
      </c>
      <c r="J13">
        <f t="shared" si="5"/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 t="shared" si="0"/>
        <v>21474.967715032963</v>
      </c>
      <c r="D14">
        <f t="shared" si="1"/>
        <v>531.37644041399142</v>
      </c>
      <c r="E14">
        <f t="shared" si="2"/>
        <v>21824.038572258847</v>
      </c>
      <c r="F14">
        <f t="shared" si="3"/>
        <v>3490.7085722588454</v>
      </c>
      <c r="G14">
        <f t="shared" si="4"/>
        <v>3490.7085722588454</v>
      </c>
      <c r="H14">
        <f>SUMSQ($F$3:F14)/12</f>
        <v>18548058.337627795</v>
      </c>
      <c r="I14">
        <f>SUM($G$3:G14)/12</f>
        <v>4044.3091289764675</v>
      </c>
      <c r="J14">
        <f t="shared" si="5"/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19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 t="shared" ref="C3:C18" si="0">0.05*(B3/E3)+(1-0.05)*(C2+D2)</f>
        <v>16029.092759278834</v>
      </c>
      <c r="D3">
        <f t="shared" ref="D3:D18" si="1">0.05*(C3-C2)+(1-0.05)*D2</f>
        <v>446.4046379639417</v>
      </c>
      <c r="E3">
        <v>0.72607706521852988</v>
      </c>
      <c r="F3">
        <f t="shared" ref="F3:F14" si="2">(C2+D2)*E3</f>
        <v>11632.480661866068</v>
      </c>
      <c r="G3">
        <f t="shared" ref="G3:G14" si="3">F3-B3</f>
        <v>-117.51933813393225</v>
      </c>
      <c r="H3">
        <f t="shared" ref="H3:H14" si="4">ABS(G3)</f>
        <v>117.51933813393225</v>
      </c>
      <c r="I3">
        <f>SUMSQ($G$3:G3)/1</f>
        <v>13810.794835437504</v>
      </c>
      <c r="J3">
        <f>SUM($H$3:H3)/1</f>
        <v>117.51933813393225</v>
      </c>
      <c r="K3">
        <f t="shared" ref="K3:K14" si="5"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 t="shared" si="0"/>
        <v>16488.024121572889</v>
      </c>
      <c r="D4">
        <f t="shared" si="1"/>
        <v>447.03097418044734</v>
      </c>
      <c r="E4">
        <v>1.1060603093713042</v>
      </c>
      <c r="F4">
        <f t="shared" si="2"/>
        <v>18222.893748240462</v>
      </c>
      <c r="G4">
        <f t="shared" si="3"/>
        <v>-277.10625175953828</v>
      </c>
      <c r="H4">
        <f t="shared" si="4"/>
        <v>277.10625175953828</v>
      </c>
      <c r="I4">
        <f>SUMSQ($G$3:G4)/2</f>
        <v>45299.334799829056</v>
      </c>
      <c r="J4">
        <f>SUM($H$3:H4)/2</f>
        <v>197.31279494673527</v>
      </c>
      <c r="K4">
        <f t="shared" si="5"/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 t="shared" si="0"/>
        <v>16945.417125273689</v>
      </c>
      <c r="D5">
        <f t="shared" si="1"/>
        <v>447.54907565646494</v>
      </c>
      <c r="E5">
        <v>1.3028202528340822</v>
      </c>
      <c r="F5">
        <f t="shared" si="2"/>
        <v>22063.332761608475</v>
      </c>
      <c r="G5">
        <f t="shared" si="3"/>
        <v>-269.99723839152648</v>
      </c>
      <c r="H5">
        <f t="shared" si="4"/>
        <v>269.99723839152648</v>
      </c>
      <c r="I5">
        <f>SUMSQ($G$3:G5)/3</f>
        <v>54499.059446236293</v>
      </c>
      <c r="J5">
        <f>SUM($H$3:H5)/3</f>
        <v>221.54094276166566</v>
      </c>
      <c r="K5">
        <f t="shared" si="5"/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 t="shared" si="0"/>
        <v>17353.987543690742</v>
      </c>
      <c r="D6">
        <f t="shared" si="1"/>
        <v>445.60014279449439</v>
      </c>
      <c r="E6">
        <v>0.86777396714093913</v>
      </c>
      <c r="F6">
        <f t="shared" si="2"/>
        <v>15093.163280529428</v>
      </c>
      <c r="G6">
        <f t="shared" si="3"/>
        <v>676.49328052942838</v>
      </c>
      <c r="H6">
        <f t="shared" si="4"/>
        <v>676.49328052942838</v>
      </c>
      <c r="I6">
        <f>SUMSQ($G$3:G6)/4</f>
        <v>155285.0842350442</v>
      </c>
      <c r="J6">
        <f>SUM($H$3:H6)/4</f>
        <v>335.27902720360635</v>
      </c>
      <c r="K6">
        <f t="shared" si="5"/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 t="shared" si="0"/>
        <v>17804.400904121114</v>
      </c>
      <c r="D7">
        <f t="shared" si="1"/>
        <v>445.84080367628826</v>
      </c>
      <c r="E7">
        <f t="shared" ref="E7:E22" si="6">0.05*(B3/C3)+(1-0.05)*E3</f>
        <v>0.7264253175273282</v>
      </c>
      <c r="F7">
        <f t="shared" si="2"/>
        <v>12930.071137010558</v>
      </c>
      <c r="G7">
        <f t="shared" si="3"/>
        <v>-69.928862989441768</v>
      </c>
      <c r="H7">
        <f t="shared" si="4"/>
        <v>69.928862989441768</v>
      </c>
      <c r="I7">
        <f>SUMSQ($G$3:G7)/5</f>
        <v>125206.07656383459</v>
      </c>
      <c r="J7">
        <f>SUM($H$3:H7)/5</f>
        <v>282.20899436077343</v>
      </c>
      <c r="K7">
        <f t="shared" si="5"/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 t="shared" si="0"/>
        <v>18248.716339926545</v>
      </c>
      <c r="D8">
        <f t="shared" si="1"/>
        <v>445.76453528274538</v>
      </c>
      <c r="E8">
        <f t="shared" si="6"/>
        <v>1.1068586189117031</v>
      </c>
      <c r="F8">
        <f t="shared" si="2"/>
        <v>20200.437331497396</v>
      </c>
      <c r="G8">
        <f t="shared" si="3"/>
        <v>33.767331497398118</v>
      </c>
      <c r="H8">
        <f t="shared" si="4"/>
        <v>33.767331497398118</v>
      </c>
      <c r="I8">
        <f>SUMSQ($G$3:G8)/6</f>
        <v>104528.43591593801</v>
      </c>
      <c r="J8">
        <f>SUM($H$3:H8)/6</f>
        <v>240.80205055021088</v>
      </c>
      <c r="K8">
        <f t="shared" si="5"/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 t="shared" si="0"/>
        <v>18699.478779860547</v>
      </c>
      <c r="D9">
        <f t="shared" si="1"/>
        <v>446.01443051530822</v>
      </c>
      <c r="E9">
        <f t="shared" si="6"/>
        <v>1.3035770868930365</v>
      </c>
      <c r="F9">
        <f t="shared" si="2"/>
        <v>24369.69692028291</v>
      </c>
      <c r="G9">
        <f t="shared" si="3"/>
        <v>-130.30307971709044</v>
      </c>
      <c r="H9">
        <f t="shared" si="4"/>
        <v>130.30307971709044</v>
      </c>
      <c r="I9">
        <f>SUMSQ($G$3:G9)/7</f>
        <v>92021.358297055223</v>
      </c>
      <c r="J9">
        <f>SUM($H$3:H9)/7</f>
        <v>225.01648328833653</v>
      </c>
      <c r="K9">
        <f t="shared" si="5"/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 t="shared" si="0"/>
        <v>19179.454690129449</v>
      </c>
      <c r="D10">
        <f t="shared" si="1"/>
        <v>447.71250450298788</v>
      </c>
      <c r="E10">
        <f t="shared" si="6"/>
        <v>0.86592232176293893</v>
      </c>
      <c r="F10">
        <f t="shared" si="2"/>
        <v>16578.509932025245</v>
      </c>
      <c r="G10">
        <f t="shared" si="3"/>
        <v>-588.16006797475347</v>
      </c>
      <c r="H10">
        <f t="shared" si="4"/>
        <v>588.16006797475347</v>
      </c>
      <c r="I10">
        <f>SUMSQ($G$3:G10)/8</f>
        <v>123760.22170493164</v>
      </c>
      <c r="J10">
        <f>SUM($H$3:H10)/8</f>
        <v>270.40943137413865</v>
      </c>
      <c r="K10">
        <f t="shared" si="5"/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 t="shared" si="0"/>
        <v>19609.18422129393</v>
      </c>
      <c r="D11">
        <f t="shared" si="1"/>
        <v>446.81335583606256</v>
      </c>
      <c r="E11">
        <f t="shared" si="6"/>
        <v>0.72661187932235216</v>
      </c>
      <c r="F11">
        <f t="shared" si="2"/>
        <v>14261.332841065892</v>
      </c>
      <c r="G11">
        <f t="shared" si="3"/>
        <v>261.33284106589235</v>
      </c>
      <c r="H11">
        <f t="shared" si="4"/>
        <v>261.33284106589235</v>
      </c>
      <c r="I11">
        <f>SUMSQ($G$3:G11)/9</f>
        <v>117597.40305100268</v>
      </c>
      <c r="J11">
        <f>SUM($H$3:H11)/9</f>
        <v>269.40092133988907</v>
      </c>
      <c r="K11">
        <f t="shared" si="5"/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 t="shared" si="0"/>
        <v>20039.550585270721</v>
      </c>
      <c r="D12">
        <f t="shared" si="1"/>
        <v>445.99100624309898</v>
      </c>
      <c r="E12">
        <f t="shared" si="6"/>
        <v>1.1067707251543422</v>
      </c>
      <c r="F12">
        <f t="shared" si="2"/>
        <v>22197.390982133893</v>
      </c>
      <c r="G12">
        <f t="shared" si="3"/>
        <v>364.06098213389123</v>
      </c>
      <c r="H12">
        <f t="shared" si="4"/>
        <v>364.06098213389123</v>
      </c>
      <c r="I12">
        <f>SUMSQ($G$3:G12)/10</f>
        <v>119091.70261713176</v>
      </c>
      <c r="J12">
        <f>SUM($H$3:H12)/10</f>
        <v>278.86692741928925</v>
      </c>
      <c r="K12">
        <f t="shared" si="5"/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 t="shared" si="0"/>
        <v>20464.658478269757</v>
      </c>
      <c r="D13">
        <f t="shared" si="1"/>
        <v>444.94685058089584</v>
      </c>
      <c r="E13">
        <f t="shared" si="6"/>
        <v>1.3039080798773557</v>
      </c>
      <c r="F13">
        <f t="shared" si="2"/>
        <v>26711.26320183849</v>
      </c>
      <c r="G13">
        <f t="shared" si="3"/>
        <v>544.59320183849195</v>
      </c>
      <c r="H13">
        <f t="shared" si="4"/>
        <v>544.59320183849195</v>
      </c>
      <c r="I13">
        <f>SUMSQ($G$3:G13)/11</f>
        <v>135227.16196909256</v>
      </c>
      <c r="J13">
        <f>SUM($H$3:H13)/11</f>
        <v>303.0238614573986</v>
      </c>
      <c r="K13">
        <f t="shared" si="5"/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 t="shared" si="0"/>
        <v>20920.948594078032</v>
      </c>
      <c r="D14">
        <f t="shared" si="1"/>
        <v>445.51401384226477</v>
      </c>
      <c r="E14">
        <f t="shared" si="6"/>
        <v>0.86737896397097725</v>
      </c>
      <c r="F14">
        <f t="shared" si="2"/>
        <v>18136.551807180502</v>
      </c>
      <c r="G14">
        <f t="shared" si="3"/>
        <v>-196.77819281949996</v>
      </c>
      <c r="H14">
        <f t="shared" si="4"/>
        <v>196.77819281949996</v>
      </c>
      <c r="I14">
        <f>SUMSQ($G$3:G14)/12</f>
        <v>127185.03656911053</v>
      </c>
      <c r="J14">
        <f>SUM($H$3:H14)/12</f>
        <v>294.1700557375737</v>
      </c>
      <c r="K14">
        <f t="shared" si="5"/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>
        <f t="shared" si="1"/>
        <v>445.51401384226472</v>
      </c>
      <c r="E15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>
        <f t="shared" si="1"/>
        <v>445.51401384226466</v>
      </c>
      <c r="E16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>
        <f t="shared" si="1"/>
        <v>445.5140138422646</v>
      </c>
      <c r="E17">
        <f t="shared" si="6"/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1">
        <f>(C14+(4*D14))*E18</f>
        <v>19702.251794744905</v>
      </c>
    </row>
    <row r="19" spans="1:6" x14ac:dyDescent="0.25">
      <c r="A19" s="2"/>
      <c r="B19" s="2"/>
      <c r="C19" s="3"/>
      <c r="D19" s="2"/>
      <c r="E19" s="2">
        <f t="shared" si="6"/>
        <v>0.7259788438115149</v>
      </c>
      <c r="F19" s="2"/>
    </row>
    <row r="20" spans="1:6" x14ac:dyDescent="0.25">
      <c r="A20" s="2"/>
      <c r="B20" s="2"/>
      <c r="C20" s="3"/>
      <c r="D20" s="2"/>
      <c r="E20" s="2">
        <f t="shared" si="6"/>
        <v>1.1059077868076073</v>
      </c>
      <c r="F20" s="2"/>
    </row>
    <row r="21" spans="1:6" x14ac:dyDescent="0.25">
      <c r="A21" s="2"/>
      <c r="B21" s="2"/>
      <c r="C21" s="3"/>
      <c r="D21" s="2"/>
      <c r="E21" s="2">
        <f t="shared" si="6"/>
        <v>1.3026440384024001</v>
      </c>
      <c r="F21" s="2"/>
    </row>
    <row r="22" spans="1:6" x14ac:dyDescent="0.25">
      <c r="A22" s="2"/>
      <c r="B22" s="2"/>
      <c r="C22" s="3"/>
      <c r="D22" s="2"/>
      <c r="E22" s="2">
        <f t="shared" si="6"/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0" sqref="B10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25</v>
      </c>
      <c r="B1">
        <f>SUM(winter_smoothing!B15:B18)</f>
        <v>88329.47389312544</v>
      </c>
    </row>
    <row r="2" spans="1:2" x14ac:dyDescent="0.25">
      <c r="A2" t="s">
        <v>26</v>
      </c>
      <c r="B2">
        <f>data!D10</f>
        <v>1000</v>
      </c>
    </row>
    <row r="3" spans="1:2" x14ac:dyDescent="0.25">
      <c r="A3" t="s">
        <v>27</v>
      </c>
      <c r="B3">
        <f>data!E10</f>
        <v>7500</v>
      </c>
    </row>
    <row r="4" spans="1:2" x14ac:dyDescent="0.25">
      <c r="A4" t="s">
        <v>28</v>
      </c>
      <c r="B4" s="9">
        <f>data!F10</f>
        <v>0.1</v>
      </c>
    </row>
    <row r="5" spans="1:2" x14ac:dyDescent="0.25">
      <c r="A5" t="s">
        <v>29</v>
      </c>
      <c r="B5">
        <f>SQRT((2*B1*B3)/(B4*B2))</f>
        <v>3639.9754235391229</v>
      </c>
    </row>
    <row r="6" spans="1:2" x14ac:dyDescent="0.25">
      <c r="A6" t="s">
        <v>33</v>
      </c>
      <c r="B6">
        <f>B5/2</f>
        <v>1819.9877117695614</v>
      </c>
    </row>
    <row r="7" spans="1:2" x14ac:dyDescent="0.25">
      <c r="A7" t="s">
        <v>34</v>
      </c>
      <c r="B7">
        <f>B1/B5</f>
        <v>24.266502823594152</v>
      </c>
    </row>
    <row r="8" spans="1:2" x14ac:dyDescent="0.25">
      <c r="A8" t="s">
        <v>30</v>
      </c>
      <c r="B8">
        <f>(B5/2)*B4*B2</f>
        <v>181998.77117695616</v>
      </c>
    </row>
    <row r="9" spans="1:2" x14ac:dyDescent="0.25">
      <c r="A9" t="s">
        <v>31</v>
      </c>
      <c r="B9">
        <f>365/B7</f>
        <v>15.04131034675145</v>
      </c>
    </row>
    <row r="10" spans="1:2" x14ac:dyDescent="0.25">
      <c r="A10" t="s">
        <v>32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7" sqref="B7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25</v>
      </c>
      <c r="B1">
        <f>SUM(winter_smoothing!B15:B18)</f>
        <v>88329.47389312544</v>
      </c>
    </row>
    <row r="2" spans="1:2" x14ac:dyDescent="0.25">
      <c r="A2" t="s">
        <v>35</v>
      </c>
      <c r="B2">
        <f>STDEV(winter_smoothing!B15:B18)</f>
        <v>5795.5483786683762</v>
      </c>
    </row>
    <row r="3" spans="1:2" x14ac:dyDescent="0.25">
      <c r="A3" t="s">
        <v>36</v>
      </c>
      <c r="B3">
        <f>data!E13</f>
        <v>2</v>
      </c>
    </row>
    <row r="4" spans="1:2" x14ac:dyDescent="0.25">
      <c r="A4" t="s">
        <v>39</v>
      </c>
      <c r="B4">
        <f>NORMSINV(0.95)</f>
        <v>1.6448536269514715</v>
      </c>
    </row>
    <row r="5" spans="1:2" x14ac:dyDescent="0.25">
      <c r="A5" t="s">
        <v>37</v>
      </c>
      <c r="B5">
        <f>B1*B2</f>
        <v>511917739.20993382</v>
      </c>
    </row>
    <row r="6" spans="1:2" x14ac:dyDescent="0.25">
      <c r="A6" t="s">
        <v>38</v>
      </c>
      <c r="B6">
        <f>SQRT(B3)*B2</f>
        <v>8196.1431185022193</v>
      </c>
    </row>
    <row r="7" spans="1:2" x14ac:dyDescent="0.25">
      <c r="A7" t="s">
        <v>40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2019-03-11T22:23:58Z</dcterms:modified>
</cp:coreProperties>
</file>