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temp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<sst xmlns="http://schemas.openxmlformats.org/spreadsheetml/2006/main" count="21" uniqueCount="16">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</sst>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tabSelected="1" workbookViewId="0">
      <selection activeCell="I23" sqref="I23"/>
    </sheetView>
  </sheetViews>
  <sheetFormatPr defaultRowHeight="15" x14ac:dyDescent="0.25"/>
  <cols>
    <col min="3" max="3" width="18.42578125" customWidth="1"/>
  </cols>
  <sheetData>
    <row r="1" spans="1:3" x14ac:dyDescent="0.25">
      <c r="A1" t="s">
        <v>0</v>
      </c>
      <c r="B1" t="s">
        <v>1</v>
      </c>
      <c r="C1" t="s">
        <v>15</v>
      </c>
    </row>
    <row r="2" spans="1:3" x14ac:dyDescent="0.25">
      <c r="A2">
        <v>1</v>
      </c>
      <c r="B2">
        <v>8000</v>
      </c>
      <c r="C2">
        <v>4</v>
      </c>
    </row>
    <row r="3" spans="1:3" x14ac:dyDescent="0.25">
      <c r="A3">
        <v>2</v>
      </c>
      <c r="B3">
        <v>13000</v>
      </c>
    </row>
    <row r="4" spans="1:3" x14ac:dyDescent="0.25">
      <c r="A4">
        <v>3</v>
      </c>
      <c r="B4">
        <v>23000</v>
      </c>
    </row>
    <row r="5" spans="1:3" x14ac:dyDescent="0.25">
      <c r="A5">
        <v>4</v>
      </c>
      <c r="B5">
        <v>34000</v>
      </c>
    </row>
    <row r="6" spans="1:3" x14ac:dyDescent="0.25">
      <c r="A6">
        <v>5</v>
      </c>
      <c r="B6">
        <v>10000</v>
      </c>
    </row>
    <row r="7" spans="1:3" x14ac:dyDescent="0.25">
      <c r="A7">
        <v>6</v>
      </c>
      <c r="B7">
        <v>18000</v>
      </c>
    </row>
    <row r="8" spans="1:3" x14ac:dyDescent="0.25">
      <c r="A8">
        <v>7</v>
      </c>
      <c r="B8">
        <v>23000</v>
      </c>
    </row>
    <row r="9" spans="1:3" x14ac:dyDescent="0.25">
      <c r="A9">
        <v>8</v>
      </c>
      <c r="B9">
        <v>38000</v>
      </c>
    </row>
    <row r="10" spans="1:3" x14ac:dyDescent="0.25">
      <c r="A10">
        <v>9</v>
      </c>
      <c r="B10">
        <v>12000</v>
      </c>
    </row>
    <row r="11" spans="1:3" x14ac:dyDescent="0.25">
      <c r="A11">
        <v>10</v>
      </c>
      <c r="B11">
        <v>13000</v>
      </c>
    </row>
    <row r="12" spans="1:3" x14ac:dyDescent="0.25">
      <c r="A12">
        <v>11</v>
      </c>
      <c r="B12">
        <v>32000</v>
      </c>
    </row>
    <row r="13" spans="1:3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workbookViewId="0">
      <selection activeCell="F22" sqref="F22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 t="shared" ref="E2:E13" si="0">18439+B2*524</f>
        <v>18963</v>
      </c>
      <c r="F2">
        <f t="shared" ref="F2:F13" si="1">C2/E2</f>
        <v>0.42187417602699995</v>
      </c>
      <c r="G2">
        <f>SUM(F2,F6,F10,)/3</f>
        <v>0.47165904366200612</v>
      </c>
      <c r="H2">
        <f>E2*G2</f>
        <v>8944.0704449626228</v>
      </c>
      <c r="I2">
        <f t="shared" ref="I2:I13" si="2">H2-C2</f>
        <v>944.07044496262279</v>
      </c>
      <c r="J2">
        <f t="shared" ref="J2:J13" si="3">ABS(I2)</f>
        <v>944.07044496262279</v>
      </c>
      <c r="K2">
        <f>SUMSQ($I$2:I2)/B2</f>
        <v>891269.00505192461</v>
      </c>
      <c r="L2">
        <f>SUM($J$2:J2)/B2</f>
        <v>944.07044496262279</v>
      </c>
      <c r="M2">
        <f t="shared" ref="M2:M13" si="4"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 t="shared" si="0"/>
        <v>19487</v>
      </c>
      <c r="F3">
        <f t="shared" si="1"/>
        <v>0.66711140760507004</v>
      </c>
      <c r="G3">
        <f>SUM(F3,F7,F11,)/3</f>
        <v>0.68337026424948055</v>
      </c>
      <c r="H3">
        <f>E3*G3</f>
        <v>13316.836339429628</v>
      </c>
      <c r="I3">
        <f t="shared" si="2"/>
        <v>316.83633942962842</v>
      </c>
      <c r="J3">
        <f t="shared" si="3"/>
        <v>316.83633942962842</v>
      </c>
      <c r="K3">
        <f>SUMSQ($I$2:I3)/B3</f>
        <v>495827.13551754568</v>
      </c>
      <c r="L3">
        <f>SUM($J$2:J3)/B3</f>
        <v>630.45339219612561</v>
      </c>
      <c r="M3">
        <f t="shared" si="4"/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 t="shared" ref="D4:D11" si="5">(C2+C6+2*SUM(C3:C5))/8</f>
        <v>19750</v>
      </c>
      <c r="E4">
        <f t="shared" si="0"/>
        <v>20011</v>
      </c>
      <c r="F4">
        <f t="shared" si="1"/>
        <v>1.1493678476837739</v>
      </c>
      <c r="G4">
        <f>SUM(F4,F8,F12,)/3</f>
        <v>1.1706374798527197</v>
      </c>
      <c r="H4">
        <f>E4*G4</f>
        <v>23425.626609332776</v>
      </c>
      <c r="I4">
        <f t="shared" si="2"/>
        <v>425.62660933277584</v>
      </c>
      <c r="J4">
        <f t="shared" si="3"/>
        <v>425.62660933277584</v>
      </c>
      <c r="K4">
        <f>SUMSQ($I$2:I4)/B4</f>
        <v>390937.42720240221</v>
      </c>
      <c r="L4">
        <f>SUM($J$2:J4)/B4</f>
        <v>562.17779790834231</v>
      </c>
      <c r="M4">
        <f t="shared" si="4"/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 t="shared" si="5"/>
        <v>20625</v>
      </c>
      <c r="E5">
        <f t="shared" si="0"/>
        <v>20535</v>
      </c>
      <c r="F5">
        <f t="shared" si="1"/>
        <v>1.6557097638178719</v>
      </c>
      <c r="G5">
        <f>SUM(F5,F9,F13,)/3</f>
        <v>1.6643096695132693</v>
      </c>
      <c r="H5">
        <f>E5*G5</f>
        <v>34176.599063454982</v>
      </c>
      <c r="I5">
        <f t="shared" si="2"/>
        <v>176.59906345498166</v>
      </c>
      <c r="J5">
        <f t="shared" si="3"/>
        <v>176.59906345498166</v>
      </c>
      <c r="K5">
        <f>SUMSQ($I$2:I5)/B5</f>
        <v>300999.8777050958</v>
      </c>
      <c r="L5">
        <f>SUM($J$2:J5)/B5</f>
        <v>465.78311429500218</v>
      </c>
      <c r="M5">
        <f t="shared" si="4"/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 t="shared" si="5"/>
        <v>21250</v>
      </c>
      <c r="E6">
        <f t="shared" si="0"/>
        <v>21059</v>
      </c>
      <c r="F6">
        <f t="shared" si="1"/>
        <v>0.47485635595232445</v>
      </c>
      <c r="H6">
        <f>E6*G2</f>
        <v>9932.6678004781861</v>
      </c>
      <c r="I6">
        <f t="shared" si="2"/>
        <v>-67.332199521813891</v>
      </c>
      <c r="J6">
        <f t="shared" si="3"/>
        <v>67.332199521813891</v>
      </c>
      <c r="K6">
        <f>SUMSQ($I$2:I6)/B6</f>
        <v>241706.62718256572</v>
      </c>
      <c r="L6">
        <f>SUM($J$2:J6)/B6</f>
        <v>386.09293134036454</v>
      </c>
      <c r="M6">
        <f t="shared" si="4"/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 t="shared" si="5"/>
        <v>21750</v>
      </c>
      <c r="E7">
        <f t="shared" si="0"/>
        <v>21583</v>
      </c>
      <c r="F7">
        <f t="shared" si="1"/>
        <v>0.83398971412685907</v>
      </c>
      <c r="H7">
        <f>E7*G3</f>
        <v>14749.180413296539</v>
      </c>
      <c r="I7">
        <f t="shared" si="2"/>
        <v>-3250.819586703461</v>
      </c>
      <c r="J7">
        <f t="shared" si="3"/>
        <v>3250.819586703461</v>
      </c>
      <c r="K7">
        <f>SUMSQ($I$2:I7)/B7</f>
        <v>1962726.8535346149</v>
      </c>
      <c r="L7">
        <f>SUM($J$2:J7)/B7</f>
        <v>863.54737390088064</v>
      </c>
      <c r="M7">
        <f t="shared" si="4"/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 t="shared" si="5"/>
        <v>22500</v>
      </c>
      <c r="E8">
        <f t="shared" si="0"/>
        <v>22107</v>
      </c>
      <c r="F8">
        <f t="shared" si="1"/>
        <v>1.0403944451983536</v>
      </c>
      <c r="H8">
        <f>E8*G4</f>
        <v>25879.282767104076</v>
      </c>
      <c r="I8">
        <f t="shared" si="2"/>
        <v>2879.2827671040759</v>
      </c>
      <c r="J8">
        <f t="shared" si="3"/>
        <v>2879.2827671040759</v>
      </c>
      <c r="K8">
        <f>SUMSQ($I$2:I8)/B8</f>
        <v>2866661.4820214561</v>
      </c>
      <c r="L8">
        <f>SUM($J$2:J8)/B8</f>
        <v>1151.5095729299085</v>
      </c>
      <c r="M8">
        <f t="shared" si="4"/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 t="shared" si="5"/>
        <v>22125</v>
      </c>
      <c r="E9">
        <f t="shared" si="0"/>
        <v>22631</v>
      </c>
      <c r="F9">
        <f t="shared" si="1"/>
        <v>1.6791127214882242</v>
      </c>
      <c r="H9">
        <f>E9*G5</f>
        <v>37664.992130754799</v>
      </c>
      <c r="I9">
        <f t="shared" si="2"/>
        <v>-335.00786924520071</v>
      </c>
      <c r="J9">
        <f t="shared" si="3"/>
        <v>335.00786924520071</v>
      </c>
      <c r="K9">
        <f>SUMSQ($I$2:I9)/B9</f>
        <v>2522357.5808258005</v>
      </c>
      <c r="L9">
        <f>SUM($J$2:J9)/B9</f>
        <v>1049.44685996932</v>
      </c>
      <c r="M9">
        <f t="shared" si="4"/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 t="shared" si="5"/>
        <v>22625</v>
      </c>
      <c r="E10">
        <f t="shared" si="0"/>
        <v>23155</v>
      </c>
      <c r="F10">
        <f t="shared" si="1"/>
        <v>0.51824659900669401</v>
      </c>
      <c r="H10">
        <f>E10*G2</f>
        <v>10921.265155993751</v>
      </c>
      <c r="I10">
        <f t="shared" si="2"/>
        <v>-1078.7348440062487</v>
      </c>
      <c r="J10">
        <f t="shared" si="3"/>
        <v>1078.7348440062487</v>
      </c>
      <c r="K10">
        <f>SUMSQ($I$2:I10)/B10</f>
        <v>2371392.1678088433</v>
      </c>
      <c r="L10">
        <f>SUM($J$2:J10)/B10</f>
        <v>1052.7010804178676</v>
      </c>
      <c r="M10">
        <f t="shared" si="4"/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 t="shared" si="5"/>
        <v>24125</v>
      </c>
      <c r="E11">
        <f t="shared" si="0"/>
        <v>23679</v>
      </c>
      <c r="F11">
        <f t="shared" si="1"/>
        <v>0.54900967101651255</v>
      </c>
      <c r="H11">
        <f>E11*G3</f>
        <v>16181.52448716345</v>
      </c>
      <c r="I11">
        <f t="shared" si="2"/>
        <v>3181.5244871634495</v>
      </c>
      <c r="J11">
        <f t="shared" si="3"/>
        <v>3181.5244871634495</v>
      </c>
      <c r="K11">
        <f>SUMSQ($I$2:I11)/B11</f>
        <v>3146462.7572700242</v>
      </c>
      <c r="L11">
        <f>SUM($J$2:J11)/B11</f>
        <v>1265.5834210924259</v>
      </c>
      <c r="M11">
        <f t="shared" si="4"/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 t="shared" si="0"/>
        <v>24203</v>
      </c>
      <c r="F12">
        <f t="shared" si="1"/>
        <v>1.3221501466760319</v>
      </c>
      <c r="H12">
        <f>E12*G4</f>
        <v>28332.938924875376</v>
      </c>
      <c r="I12">
        <f t="shared" si="2"/>
        <v>-3667.061075124624</v>
      </c>
      <c r="J12">
        <f t="shared" si="3"/>
        <v>3667.061075124624</v>
      </c>
      <c r="K12">
        <f>SUMSQ($I$2:I12)/B12</f>
        <v>4082905.8637631279</v>
      </c>
      <c r="L12">
        <f>SUM($J$2:J12)/B12</f>
        <v>1483.8995714589894</v>
      </c>
      <c r="M12">
        <f t="shared" si="4"/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 t="shared" si="0"/>
        <v>24727</v>
      </c>
      <c r="F13">
        <f t="shared" si="1"/>
        <v>1.6581065232337122</v>
      </c>
      <c r="H13">
        <f>E13*G5</f>
        <v>41153.38519805461</v>
      </c>
      <c r="I13">
        <f t="shared" si="2"/>
        <v>153.38519805460965</v>
      </c>
      <c r="J13">
        <f t="shared" si="3"/>
        <v>153.38519805460965</v>
      </c>
      <c r="K13">
        <f>SUMSQ($I$2:I13)/B13</f>
        <v>3744624.2933647218</v>
      </c>
      <c r="L13">
        <f>SUM($J$2:J13)/B13</f>
        <v>1373.0233736752909</v>
      </c>
      <c r="M13">
        <f t="shared" si="4"/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C13" sqref="A1:C13"/>
    </sheetView>
  </sheetViews>
  <sheetFormatPr defaultRowHeight="15" x14ac:dyDescent="0.25"/>
  <cols>
    <col min="3" max="3" width="12.7109375" customWidth="1"/>
  </cols>
  <sheetData>
    <row r="1" spans="1:3" x14ac:dyDescent="0.25">
      <c r="A1" t="s">
        <v>0</v>
      </c>
      <c r="B1" t="s">
        <v>1</v>
      </c>
      <c r="C1" t="s">
        <v>15</v>
      </c>
    </row>
    <row r="2" spans="1:3" x14ac:dyDescent="0.25">
      <c r="A2">
        <v>1</v>
      </c>
      <c r="B2">
        <v>8000</v>
      </c>
      <c r="C2">
        <v>4</v>
      </c>
    </row>
    <row r="3" spans="1:3" x14ac:dyDescent="0.25">
      <c r="A3">
        <v>2</v>
      </c>
      <c r="B3">
        <v>13000</v>
      </c>
    </row>
    <row r="4" spans="1:3" x14ac:dyDescent="0.25">
      <c r="A4">
        <v>3</v>
      </c>
      <c r="B4">
        <v>23000</v>
      </c>
    </row>
    <row r="5" spans="1:3" x14ac:dyDescent="0.25">
      <c r="A5">
        <v>4</v>
      </c>
      <c r="B5">
        <v>34000</v>
      </c>
    </row>
    <row r="6" spans="1:3" x14ac:dyDescent="0.25">
      <c r="A6">
        <v>5</v>
      </c>
      <c r="B6">
        <v>10000</v>
      </c>
    </row>
    <row r="7" spans="1:3" x14ac:dyDescent="0.25">
      <c r="A7">
        <v>6</v>
      </c>
      <c r="B7">
        <v>18000</v>
      </c>
    </row>
    <row r="8" spans="1:3" x14ac:dyDescent="0.25">
      <c r="A8">
        <v>7</v>
      </c>
      <c r="B8">
        <v>23000</v>
      </c>
    </row>
    <row r="9" spans="1:3" x14ac:dyDescent="0.25">
      <c r="A9">
        <v>8</v>
      </c>
      <c r="B9">
        <v>38000</v>
      </c>
    </row>
    <row r="10" spans="1:3" x14ac:dyDescent="0.25">
      <c r="A10">
        <v>9</v>
      </c>
      <c r="B10">
        <v>12000</v>
      </c>
    </row>
    <row r="11" spans="1:3" x14ac:dyDescent="0.25">
      <c r="A11">
        <v>10</v>
      </c>
      <c r="B11">
        <v>13000</v>
      </c>
    </row>
    <row r="12" spans="1:3" x14ac:dyDescent="0.25">
      <c r="A12">
        <v>11</v>
      </c>
      <c r="B12">
        <v>32000</v>
      </c>
    </row>
    <row r="13" spans="1:3" x14ac:dyDescent="0.25">
      <c r="A13">
        <v>12</v>
      </c>
      <c r="B13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static_forecast</vt:lpstr>
      <vt:lpstr>moving_average</vt:lpstr>
      <vt:lpstr>temp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2019-03-06T02:14:48Z</dcterms:modified>
</cp:coreProperties>
</file>