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X:\vba_excel_forecasting\"/>
    </mc:Choice>
  </mc:AlternateContent>
  <bookViews>
    <workbookView xWindow="0" yWindow="0" windowWidth="15360" windowHeight="7770"/>
  </bookViews>
  <sheets>
    <sheet name="data" sheetId="2" r:id="rId1"/>
    <sheet name="static_forecast" sheetId="1" r:id="rId2"/>
    <sheet name="moving_average" sheetId="3" r:id="rId3"/>
    <sheet name="simple_exponential_smoothing" sheetId="4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4" l="1"/>
  <c r="K13" i="3"/>
  <c r="K12" i="3"/>
  <c r="K11" i="3"/>
  <c r="K10" i="3"/>
  <c r="K9" i="3"/>
  <c r="K8" i="3"/>
  <c r="K7" i="3"/>
  <c r="K6" i="3"/>
  <c r="J13" i="3"/>
  <c r="J12" i="3"/>
  <c r="J11" i="3"/>
  <c r="J10" i="3"/>
  <c r="J9" i="3"/>
  <c r="J8" i="3"/>
  <c r="J7" i="3"/>
  <c r="J6" i="3"/>
  <c r="I13" i="3"/>
  <c r="I12" i="3"/>
  <c r="I11" i="3"/>
  <c r="I10" i="3"/>
  <c r="I9" i="3"/>
  <c r="I8" i="3"/>
  <c r="I7" i="3"/>
  <c r="I6" i="3"/>
  <c r="H13" i="3"/>
  <c r="H12" i="3"/>
  <c r="H11" i="3"/>
  <c r="H10" i="3"/>
  <c r="H9" i="3"/>
  <c r="H8" i="3"/>
  <c r="H7" i="3"/>
  <c r="H6" i="3"/>
  <c r="G13" i="3"/>
  <c r="G12" i="3"/>
  <c r="G11" i="3"/>
  <c r="G10" i="3"/>
  <c r="G9" i="3"/>
  <c r="G8" i="3"/>
  <c r="G7" i="3"/>
  <c r="G6" i="3"/>
  <c r="F13" i="3"/>
  <c r="F12" i="3"/>
  <c r="F11" i="3"/>
  <c r="F10" i="3"/>
  <c r="F9" i="3"/>
  <c r="F8" i="3"/>
  <c r="F7" i="3"/>
  <c r="F6" i="3"/>
  <c r="E13" i="3"/>
  <c r="E12" i="3"/>
  <c r="E11" i="3"/>
  <c r="E10" i="3"/>
  <c r="E9" i="3"/>
  <c r="E8" i="3"/>
  <c r="E7" i="3"/>
  <c r="E6" i="3"/>
  <c r="D14" i="3"/>
  <c r="D13" i="3"/>
  <c r="D12" i="3"/>
  <c r="D11" i="3"/>
  <c r="D10" i="3"/>
  <c r="D9" i="3"/>
  <c r="D8" i="3"/>
  <c r="D7" i="3"/>
  <c r="D6" i="3"/>
  <c r="C13" i="3"/>
  <c r="C12" i="3"/>
  <c r="C11" i="3"/>
  <c r="C10" i="3"/>
  <c r="C9" i="3"/>
  <c r="C8" i="3"/>
  <c r="C7" i="3"/>
  <c r="C6" i="3"/>
  <c r="C5" i="3"/>
  <c r="O13" i="1"/>
  <c r="O12" i="1"/>
  <c r="O11" i="1"/>
  <c r="O10" i="1"/>
  <c r="O9" i="1"/>
  <c r="O8" i="1"/>
  <c r="O7" i="1"/>
  <c r="O6" i="1"/>
  <c r="O5" i="1"/>
  <c r="O4" i="1"/>
  <c r="O3" i="1"/>
  <c r="O2" i="1"/>
  <c r="N13" i="1"/>
  <c r="N12" i="1"/>
  <c r="N11" i="1"/>
  <c r="N10" i="1"/>
  <c r="N9" i="1"/>
  <c r="N8" i="1"/>
  <c r="N7" i="1"/>
  <c r="N6" i="1"/>
  <c r="N5" i="1"/>
  <c r="N4" i="1"/>
  <c r="N3" i="1"/>
  <c r="N2" i="1"/>
  <c r="M13" i="1"/>
  <c r="M12" i="1"/>
  <c r="M11" i="1"/>
  <c r="M10" i="1"/>
  <c r="M9" i="1"/>
  <c r="M8" i="1"/>
  <c r="M7" i="1"/>
  <c r="M6" i="1"/>
  <c r="M5" i="1"/>
  <c r="M4" i="1"/>
  <c r="M3" i="1"/>
  <c r="M2" i="1"/>
  <c r="L13" i="1"/>
  <c r="L12" i="1"/>
  <c r="L11" i="1"/>
  <c r="L10" i="1"/>
  <c r="L9" i="1"/>
  <c r="L8" i="1"/>
  <c r="L7" i="1"/>
  <c r="L6" i="1"/>
  <c r="L5" i="1"/>
  <c r="L4" i="1"/>
  <c r="L3" i="1"/>
  <c r="L2" i="1"/>
  <c r="K13" i="1"/>
  <c r="K12" i="1"/>
  <c r="K11" i="1"/>
  <c r="K10" i="1"/>
  <c r="K9" i="1"/>
  <c r="K8" i="1"/>
  <c r="K7" i="1"/>
  <c r="K6" i="1"/>
  <c r="K5" i="1"/>
  <c r="K4" i="1"/>
  <c r="K3" i="1"/>
  <c r="K2" i="1"/>
  <c r="J13" i="1"/>
  <c r="J12" i="1"/>
  <c r="J11" i="1"/>
  <c r="J10" i="1"/>
  <c r="J9" i="1"/>
  <c r="J8" i="1"/>
  <c r="J7" i="1"/>
  <c r="J6" i="1"/>
  <c r="J5" i="1"/>
  <c r="J4" i="1"/>
  <c r="J3" i="1"/>
  <c r="J2" i="1"/>
  <c r="I13" i="1"/>
  <c r="I12" i="1"/>
  <c r="I11" i="1"/>
  <c r="I10" i="1"/>
  <c r="I9" i="1"/>
  <c r="I8" i="1"/>
  <c r="I7" i="1"/>
  <c r="I6" i="1"/>
  <c r="I5" i="1"/>
  <c r="I4" i="1"/>
  <c r="I3" i="1"/>
  <c r="I2" i="1"/>
  <c r="H13" i="1"/>
  <c r="H12" i="1"/>
  <c r="H11" i="1"/>
  <c r="H10" i="1"/>
  <c r="H9" i="1"/>
  <c r="H8" i="1"/>
  <c r="H7" i="1"/>
  <c r="H6" i="1"/>
  <c r="H5" i="1"/>
  <c r="H4" i="1"/>
  <c r="H3" i="1"/>
  <c r="H2" i="1"/>
  <c r="G5" i="1"/>
  <c r="G4" i="1"/>
  <c r="G3" i="1"/>
  <c r="G2" i="1"/>
  <c r="F13" i="1"/>
  <c r="F12" i="1"/>
  <c r="F11" i="1"/>
  <c r="F10" i="1"/>
  <c r="F9" i="1"/>
  <c r="F8" i="1"/>
  <c r="F7" i="1"/>
  <c r="F6" i="1"/>
  <c r="F5" i="1"/>
  <c r="F4" i="1"/>
  <c r="F3" i="1"/>
  <c r="F2" i="1"/>
  <c r="E13" i="1"/>
  <c r="E12" i="1"/>
  <c r="E11" i="1"/>
  <c r="E10" i="1"/>
  <c r="E9" i="1"/>
  <c r="E8" i="1"/>
  <c r="E7" i="1"/>
  <c r="E6" i="1"/>
  <c r="E5" i="1"/>
  <c r="E4" i="1"/>
  <c r="E3" i="1"/>
  <c r="E2" i="1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<sst xmlns="http://schemas.openxmlformats.org/spreadsheetml/2006/main" count="43" uniqueCount="21">
  <si>
    <t>Period</t>
  </si>
  <si>
    <t>Demand</t>
  </si>
  <si>
    <t>De-seasonalized Demand</t>
  </si>
  <si>
    <t>Regressed,Deseasonalized Demand</t>
  </si>
  <si>
    <t>Seasonal Factors</t>
  </si>
  <si>
    <t>Average Seasonal Demand</t>
  </si>
  <si>
    <t>Reintroduce Seasonal factors</t>
  </si>
  <si>
    <t>MAD</t>
  </si>
  <si>
    <t>Percent error</t>
  </si>
  <si>
    <t>MAPE</t>
  </si>
  <si>
    <t>TS</t>
  </si>
  <si>
    <t>Year</t>
  </si>
  <si>
    <t>Error</t>
  </si>
  <si>
    <t>Absolute Error</t>
  </si>
  <si>
    <t>Mean squared error</t>
  </si>
  <si>
    <t>Periodicity</t>
  </si>
  <si>
    <t>Level</t>
  </si>
  <si>
    <t>Forecast</t>
  </si>
  <si>
    <t>Alpha</t>
  </si>
  <si>
    <t>Beta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</si>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</sst>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3"/>
  <sheetViews>
    <sheetView tabSelected="1" workbookViewId="0">
      <selection activeCell="G2" sqref="G2"/>
    </sheetView>
  </sheetViews>
  <sheetFormatPr defaultRowHeight="15" x14ac:dyDescent="0.25"/>
  <cols>
    <col min="3" max="3" width="18.42578125" customWidth="1"/>
  </cols>
  <sheetData>
    <row r="1" spans="1:6" x14ac:dyDescent="0.25">
      <c r="A1" t="s">
        <v>0</v>
      </c>
      <c r="B1" t="s">
        <v>1</v>
      </c>
      <c r="C1" t="s">
        <v>15</v>
      </c>
      <c r="D1" t="s">
        <v>18</v>
      </c>
      <c r="E1" t="s">
        <v>19</v>
      </c>
      <c r="F1" t="s">
        <v>20</v>
      </c>
    </row>
    <row r="2" spans="1:6" x14ac:dyDescent="0.25">
      <c r="A2">
        <v>1</v>
      </c>
      <c r="B2">
        <v>8000</v>
      </c>
      <c r="C2">
        <v>4</v>
      </c>
      <c r="D2">
        <v>0.1</v>
      </c>
      <c r="E2">
        <v>0.1</v>
      </c>
      <c r="F2">
        <v>0.1</v>
      </c>
    </row>
    <row r="3" spans="1:6" x14ac:dyDescent="0.25">
      <c r="A3">
        <v>2</v>
      </c>
      <c r="B3">
        <v>13000</v>
      </c>
    </row>
    <row r="4" spans="1:6" x14ac:dyDescent="0.25">
      <c r="A4">
        <v>3</v>
      </c>
      <c r="B4">
        <v>23000</v>
      </c>
    </row>
    <row r="5" spans="1:6" x14ac:dyDescent="0.25">
      <c r="A5">
        <v>4</v>
      </c>
      <c r="B5">
        <v>34000</v>
      </c>
    </row>
    <row r="6" spans="1:6" x14ac:dyDescent="0.25">
      <c r="A6">
        <v>5</v>
      </c>
      <c r="B6">
        <v>10000</v>
      </c>
    </row>
    <row r="7" spans="1:6" x14ac:dyDescent="0.25">
      <c r="A7">
        <v>6</v>
      </c>
      <c r="B7">
        <v>18000</v>
      </c>
    </row>
    <row r="8" spans="1:6" x14ac:dyDescent="0.25">
      <c r="A8">
        <v>7</v>
      </c>
      <c r="B8">
        <v>23000</v>
      </c>
    </row>
    <row r="9" spans="1:6" x14ac:dyDescent="0.25">
      <c r="A9">
        <v>8</v>
      </c>
      <c r="B9">
        <v>38000</v>
      </c>
    </row>
    <row r="10" spans="1:6" x14ac:dyDescent="0.25">
      <c r="A10">
        <v>9</v>
      </c>
      <c r="B10">
        <v>12000</v>
      </c>
    </row>
    <row r="11" spans="1:6" x14ac:dyDescent="0.25">
      <c r="A11">
        <v>10</v>
      </c>
      <c r="B11">
        <v>13000</v>
      </c>
    </row>
    <row r="12" spans="1:6" x14ac:dyDescent="0.25">
      <c r="A12">
        <v>11</v>
      </c>
      <c r="B12">
        <v>32000</v>
      </c>
    </row>
    <row r="13" spans="1:6" x14ac:dyDescent="0.25">
      <c r="A13">
        <v>12</v>
      </c>
      <c r="B13">
        <v>41000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3"/>
  <sheetViews>
    <sheetView topLeftCell="E1" workbookViewId="0">
      <selection activeCell="O2" sqref="O2"/>
    </sheetView>
  </sheetViews>
  <sheetFormatPr defaultRowHeight="15" x14ac:dyDescent="0.25"/>
  <cols>
    <col min="3" max="3" width="17" customWidth="1"/>
    <col min="4" max="4" width="35.85546875" customWidth="1"/>
    <col min="5" max="5" width="32.140625" customWidth="1"/>
    <col min="6" max="6" width="29.42578125" customWidth="1"/>
    <col min="7" max="7" width="32.140625" customWidth="1"/>
    <col min="8" max="8" width="31.28515625" customWidth="1"/>
    <col min="9" max="9" width="29.28515625" customWidth="1"/>
    <col min="10" max="10" width="26.85546875" customWidth="1"/>
    <col min="11" max="11" width="18.85546875" customWidth="1"/>
    <col min="12" max="12" width="12.5703125" customWidth="1"/>
    <col min="13" max="13" width="18.7109375" customWidth="1"/>
  </cols>
  <sheetData>
    <row r="1" spans="1:15" x14ac:dyDescent="0.25">
      <c r="A1" t="s">
        <v>11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12</v>
      </c>
      <c r="J1" t="s">
        <v>13</v>
      </c>
      <c r="K1" t="s">
        <v>14</v>
      </c>
      <c r="L1" t="s">
        <v>7</v>
      </c>
      <c r="M1" t="s">
        <v>8</v>
      </c>
      <c r="N1" t="s">
        <v>9</v>
      </c>
      <c r="O1" t="s">
        <v>10</v>
      </c>
    </row>
    <row r="2" spans="1:15" x14ac:dyDescent="0.25">
      <c r="A2">
        <v>1</v>
      </c>
      <c r="B2">
        <v>1</v>
      </c>
      <c r="C2">
        <v>8000</v>
      </c>
      <c r="E2">
        <f>18439+B2*524</f>
        <v>18963</v>
      </c>
      <c r="F2">
        <f>C2/E2</f>
        <v>0.42187417602699995</v>
      </c>
      <c r="G2">
        <f>SUM(F2,F6,F10,)/3</f>
        <v>0.47165904366200612</v>
      </c>
      <c r="H2">
        <f>E2*G2</f>
        <v>8944.0704449626228</v>
      </c>
      <c r="I2">
        <f>H2-C2</f>
        <v>944.07044496262279</v>
      </c>
      <c r="J2">
        <f>ABS(I2)</f>
        <v>944.07044496262279</v>
      </c>
      <c r="K2">
        <f>SUMSQ($I$2:I2)/1</f>
        <v>891269.00505192461</v>
      </c>
      <c r="L2">
        <f>SUM($J$2:J2)/1</f>
        <v>944.07044496262279</v>
      </c>
      <c r="M2">
        <f>100*(J2/C2)</f>
        <v>11.800880562032786</v>
      </c>
      <c r="N2">
        <f>AVERAGE($M$2:M2)</f>
        <v>11.800880562032786</v>
      </c>
      <c r="O2">
        <f>SUM($I$2:I2)/L2</f>
        <v>1</v>
      </c>
    </row>
    <row r="3" spans="1:15" x14ac:dyDescent="0.25">
      <c r="B3">
        <v>2</v>
      </c>
      <c r="C3">
        <v>13000</v>
      </c>
      <c r="E3">
        <f>18439+B3*524</f>
        <v>19487</v>
      </c>
      <c r="F3">
        <f>C3/E3</f>
        <v>0.66711140760507004</v>
      </c>
      <c r="G3">
        <f>SUM(F3,F7,F11,)/3</f>
        <v>0.68337026424948055</v>
      </c>
      <c r="H3">
        <f>E3*G3</f>
        <v>13316.836339429628</v>
      </c>
      <c r="I3">
        <f>H3-C3</f>
        <v>316.83633942962842</v>
      </c>
      <c r="J3">
        <f>ABS(I3)</f>
        <v>316.83633942962842</v>
      </c>
      <c r="K3">
        <f>SUMSQ($I$2:I3)/2</f>
        <v>495827.13551754568</v>
      </c>
      <c r="L3">
        <f>SUM($J$2:J3)/2</f>
        <v>630.45339219612561</v>
      </c>
      <c r="M3">
        <f>100*(J3/C3)</f>
        <v>2.4372026109971419</v>
      </c>
      <c r="N3">
        <f>AVERAGE($M$2:M3)</f>
        <v>7.1190415865149639</v>
      </c>
      <c r="O3">
        <f>SUM($I$2:I3)/L3</f>
        <v>2</v>
      </c>
    </row>
    <row r="4" spans="1:15" x14ac:dyDescent="0.25">
      <c r="B4">
        <v>3</v>
      </c>
      <c r="C4">
        <v>23000</v>
      </c>
      <c r="D4">
        <f>(C2+C6+2*SUM(C3:C5))/8</f>
        <v>19750</v>
      </c>
      <c r="E4">
        <f>18439+B4*524</f>
        <v>20011</v>
      </c>
      <c r="F4">
        <f>C4/E4</f>
        <v>1.1493678476837739</v>
      </c>
      <c r="G4">
        <f>SUM(F4,F8,F12,)/3</f>
        <v>1.1706374798527197</v>
      </c>
      <c r="H4">
        <f>E4*G4</f>
        <v>23425.626609332776</v>
      </c>
      <c r="I4">
        <f>H4-C4</f>
        <v>425.62660933277584</v>
      </c>
      <c r="J4">
        <f>ABS(I4)</f>
        <v>425.62660933277584</v>
      </c>
      <c r="K4">
        <f>SUMSQ($I$2:I4)/3</f>
        <v>390937.42720240221</v>
      </c>
      <c r="L4">
        <f>SUM($J$2:J4)/3</f>
        <v>562.17779790834231</v>
      </c>
      <c r="M4">
        <f>100*(J4/C4)</f>
        <v>1.8505504753598949</v>
      </c>
      <c r="N4">
        <f>AVERAGE($M$2:M4)</f>
        <v>5.3628778827966075</v>
      </c>
      <c r="O4">
        <f>SUM($I$2:I4)/L4</f>
        <v>3</v>
      </c>
    </row>
    <row r="5" spans="1:15" x14ac:dyDescent="0.25">
      <c r="B5">
        <v>4</v>
      </c>
      <c r="C5">
        <v>34000</v>
      </c>
      <c r="D5">
        <f>(C3+C7+2*SUM(C4:C6))/8</f>
        <v>20625</v>
      </c>
      <c r="E5">
        <f>18439+B5*524</f>
        <v>20535</v>
      </c>
      <c r="F5">
        <f>C5/E5</f>
        <v>1.6557097638178719</v>
      </c>
      <c r="G5">
        <f>SUM(F5,F9,F13,)/3</f>
        <v>1.6643096695132693</v>
      </c>
      <c r="H5">
        <f>E5*G5</f>
        <v>34176.599063454982</v>
      </c>
      <c r="I5">
        <f>H5-C5</f>
        <v>176.59906345498166</v>
      </c>
      <c r="J5">
        <f>ABS(I5)</f>
        <v>176.59906345498166</v>
      </c>
      <c r="K5">
        <f>SUMSQ($I$2:I5)/4</f>
        <v>300999.8777050958</v>
      </c>
      <c r="L5">
        <f>SUM($J$2:J5)/4</f>
        <v>465.78311429500218</v>
      </c>
      <c r="M5">
        <f>100*(J5/C5)</f>
        <v>0.5194090101617107</v>
      </c>
      <c r="N5">
        <f>AVERAGE($M$2:M5)</f>
        <v>4.1520106646378832</v>
      </c>
      <c r="O5">
        <f>SUM($I$2:I5)/L5</f>
        <v>4</v>
      </c>
    </row>
    <row r="6" spans="1:15" x14ac:dyDescent="0.25">
      <c r="A6">
        <v>2</v>
      </c>
      <c r="B6">
        <v>5</v>
      </c>
      <c r="C6">
        <v>10000</v>
      </c>
      <c r="D6">
        <f>(C4+C8+2*SUM(C5:C7))/8</f>
        <v>21250</v>
      </c>
      <c r="E6">
        <f>18439+B6*524</f>
        <v>21059</v>
      </c>
      <c r="F6">
        <f>C6/E6</f>
        <v>0.47485635595232445</v>
      </c>
      <c r="H6">
        <f>E6*G2</f>
        <v>9932.6678004781861</v>
      </c>
      <c r="I6">
        <f>H6-C6</f>
        <v>-67.332199521813891</v>
      </c>
      <c r="J6">
        <f>ABS(I6)</f>
        <v>67.332199521813891</v>
      </c>
      <c r="K6">
        <f>SUMSQ($I$2:I6)/5</f>
        <v>241706.62718256572</v>
      </c>
      <c r="L6">
        <f>SUM($J$2:J6)/5</f>
        <v>386.09293134036454</v>
      </c>
      <c r="M6">
        <f>100*(J6/C6)</f>
        <v>0.67332199521813885</v>
      </c>
      <c r="N6">
        <f>AVERAGE($M$2:M6)</f>
        <v>3.4562729307539342</v>
      </c>
      <c r="O6">
        <f>SUM($I$2:I6)/L6</f>
        <v>4.6512124721472485</v>
      </c>
    </row>
    <row r="7" spans="1:15" x14ac:dyDescent="0.25">
      <c r="B7">
        <v>6</v>
      </c>
      <c r="C7">
        <v>18000</v>
      </c>
      <c r="D7">
        <f>(C5+C9+2*SUM(C6:C8))/8</f>
        <v>21750</v>
      </c>
      <c r="E7">
        <f>18439+B7*524</f>
        <v>21583</v>
      </c>
      <c r="F7">
        <f>C7/E7</f>
        <v>0.83398971412685907</v>
      </c>
      <c r="H7">
        <f>E7*G3</f>
        <v>14749.180413296539</v>
      </c>
      <c r="I7">
        <f>H7-C7</f>
        <v>-3250.819586703461</v>
      </c>
      <c r="J7">
        <f>ABS(I7)</f>
        <v>3250.819586703461</v>
      </c>
      <c r="K7">
        <f>SUMSQ($I$2:I7)/6</f>
        <v>1962726.8535346149</v>
      </c>
      <c r="L7">
        <f>SUM($J$2:J7)/6</f>
        <v>863.54737390088064</v>
      </c>
      <c r="M7">
        <f>100*(J7/C7)</f>
        <v>18.060108815019227</v>
      </c>
      <c r="N7">
        <f>AVERAGE($M$2:M7)</f>
        <v>5.8902455781314833</v>
      </c>
      <c r="O7">
        <f>SUM($I$2:I7)/L7</f>
        <v>-1.6849328398424099</v>
      </c>
    </row>
    <row r="8" spans="1:15" x14ac:dyDescent="0.25">
      <c r="B8">
        <v>7</v>
      </c>
      <c r="C8">
        <v>23000</v>
      </c>
      <c r="D8">
        <f>(C6+C10+2*SUM(C7:C9))/8</f>
        <v>22500</v>
      </c>
      <c r="E8">
        <f>18439+B8*524</f>
        <v>22107</v>
      </c>
      <c r="F8">
        <f>C8/E8</f>
        <v>1.0403944451983536</v>
      </c>
      <c r="H8">
        <f>E8*G4</f>
        <v>25879.282767104076</v>
      </c>
      <c r="I8">
        <f>H8-C8</f>
        <v>2879.2827671040759</v>
      </c>
      <c r="J8">
        <f>ABS(I8)</f>
        <v>2879.2827671040759</v>
      </c>
      <c r="K8">
        <f>SUMSQ($I$2:I8)/7</f>
        <v>2866661.4820214561</v>
      </c>
      <c r="L8">
        <f>SUM($J$2:J8)/7</f>
        <v>1151.5095729299085</v>
      </c>
      <c r="M8">
        <f>100*(J8/C8)</f>
        <v>12.518620726539462</v>
      </c>
      <c r="N8">
        <f>AVERAGE($M$2:M8)</f>
        <v>6.8371563136183369</v>
      </c>
      <c r="O8">
        <f>SUM($I$2:I8)/L8</f>
        <v>1.2368663461780041</v>
      </c>
    </row>
    <row r="9" spans="1:15" x14ac:dyDescent="0.25">
      <c r="B9">
        <v>8</v>
      </c>
      <c r="C9">
        <v>38000</v>
      </c>
      <c r="D9">
        <f>(C7+C11+2*SUM(C8:C10))/8</f>
        <v>22125</v>
      </c>
      <c r="E9">
        <f>18439+B9*524</f>
        <v>22631</v>
      </c>
      <c r="F9">
        <f>C9/E9</f>
        <v>1.6791127214882242</v>
      </c>
      <c r="H9">
        <f>E9*G5</f>
        <v>37664.992130754799</v>
      </c>
      <c r="I9">
        <f>H9-C9</f>
        <v>-335.00786924520071</v>
      </c>
      <c r="J9">
        <f>ABS(I9)</f>
        <v>335.00786924520071</v>
      </c>
      <c r="K9">
        <f>SUMSQ($I$2:I9)/8</f>
        <v>2522357.5808258005</v>
      </c>
      <c r="L9">
        <f>SUM($J$2:J9)/8</f>
        <v>1049.44685996932</v>
      </c>
      <c r="M9">
        <f>100*(J9/C9)</f>
        <v>0.88159965590842293</v>
      </c>
      <c r="N9">
        <f>AVERAGE($M$2:M9)</f>
        <v>6.0927117314045978</v>
      </c>
      <c r="O9">
        <f>SUM($I$2:I9)/L9</f>
        <v>1.0379330391683221</v>
      </c>
    </row>
    <row r="10" spans="1:15" x14ac:dyDescent="0.25">
      <c r="A10">
        <v>3</v>
      </c>
      <c r="B10">
        <v>9</v>
      </c>
      <c r="C10">
        <v>12000</v>
      </c>
      <c r="D10">
        <f>(C8+C12+2*SUM(C9:C11))/8</f>
        <v>22625</v>
      </c>
      <c r="E10">
        <f>18439+B10*524</f>
        <v>23155</v>
      </c>
      <c r="F10">
        <f>C10/E10</f>
        <v>0.51824659900669401</v>
      </c>
      <c r="H10">
        <f>E10*G2</f>
        <v>10921.265155993751</v>
      </c>
      <c r="I10">
        <f>H10-C10</f>
        <v>-1078.7348440062487</v>
      </c>
      <c r="J10">
        <f>ABS(I10)</f>
        <v>1078.7348440062487</v>
      </c>
      <c r="K10">
        <f>SUMSQ($I$2:I10)/9</f>
        <v>2371392.1678088433</v>
      </c>
      <c r="L10">
        <f>SUM($J$2:J10)/9</f>
        <v>1052.7010804178676</v>
      </c>
      <c r="M10">
        <f>100*(J10/C10)</f>
        <v>8.9894570333854062</v>
      </c>
      <c r="N10">
        <f>AVERAGE($M$2:M10)</f>
        <v>6.4145723205135763</v>
      </c>
      <c r="O10">
        <f>SUM($I$2:I10)/L10</f>
        <v>9.9940286972860885E-3</v>
      </c>
    </row>
    <row r="11" spans="1:15" x14ac:dyDescent="0.25">
      <c r="B11">
        <v>10</v>
      </c>
      <c r="C11">
        <v>13000</v>
      </c>
      <c r="D11">
        <f>(C9+C13+2*SUM(C10:C12))/8</f>
        <v>24125</v>
      </c>
      <c r="E11">
        <f>18439+B11*524</f>
        <v>23679</v>
      </c>
      <c r="F11">
        <f>C11/E11</f>
        <v>0.54900967101651255</v>
      </c>
      <c r="H11">
        <f>E11*G3</f>
        <v>16181.52448716345</v>
      </c>
      <c r="I11">
        <f>H11-C11</f>
        <v>3181.5244871634495</v>
      </c>
      <c r="J11">
        <f>ABS(I11)</f>
        <v>3181.5244871634495</v>
      </c>
      <c r="K11">
        <f>SUMSQ($I$2:I11)/10</f>
        <v>3146462.7572700242</v>
      </c>
      <c r="L11">
        <f>SUM($J$2:J11)/10</f>
        <v>1265.5834210924259</v>
      </c>
      <c r="M11">
        <f>100*(J11/C11)</f>
        <v>24.473265285872689</v>
      </c>
      <c r="N11">
        <f>AVERAGE($M$2:M11)</f>
        <v>8.2204416170494881</v>
      </c>
      <c r="O11">
        <f>SUM($I$2:I11)/L11</f>
        <v>2.5221926573718081</v>
      </c>
    </row>
    <row r="12" spans="1:15" x14ac:dyDescent="0.25">
      <c r="B12">
        <v>11</v>
      </c>
      <c r="C12">
        <v>32000</v>
      </c>
      <c r="E12">
        <f>18439+B12*524</f>
        <v>24203</v>
      </c>
      <c r="F12">
        <f>C12/E12</f>
        <v>1.3221501466760319</v>
      </c>
      <c r="H12">
        <f>E12*G4</f>
        <v>28332.938924875376</v>
      </c>
      <c r="I12">
        <f>H12-C12</f>
        <v>-3667.061075124624</v>
      </c>
      <c r="J12">
        <f>ABS(I12)</f>
        <v>3667.061075124624</v>
      </c>
      <c r="K12">
        <f>SUMSQ($I$2:I12)/11</f>
        <v>4082905.8637631279</v>
      </c>
      <c r="L12">
        <f>SUM($J$2:J12)/11</f>
        <v>1483.8995714589894</v>
      </c>
      <c r="M12">
        <f>100*(J12/C12)</f>
        <v>11.459565859764451</v>
      </c>
      <c r="N12">
        <f>AVERAGE($M$2:M12)</f>
        <v>8.5149074572963031</v>
      </c>
      <c r="O12">
        <f>SUM($I$2:I12)/L12</f>
        <v>-0.32011321540228799</v>
      </c>
    </row>
    <row r="13" spans="1:15" x14ac:dyDescent="0.25">
      <c r="B13">
        <v>12</v>
      </c>
      <c r="C13">
        <v>41000</v>
      </c>
      <c r="E13">
        <f>18439+B13*524</f>
        <v>24727</v>
      </c>
      <c r="F13">
        <f>C13/E13</f>
        <v>1.6581065232337122</v>
      </c>
      <c r="H13">
        <f>E13*G5</f>
        <v>41153.38519805461</v>
      </c>
      <c r="I13">
        <f>H13-C13</f>
        <v>153.38519805460965</v>
      </c>
      <c r="J13">
        <f>ABS(I13)</f>
        <v>153.38519805460965</v>
      </c>
      <c r="K13">
        <f>SUMSQ($I$2:I13)/12</f>
        <v>3744624.2933647218</v>
      </c>
      <c r="L13">
        <f>SUM($J$2:J13)/12</f>
        <v>1373.0233736752909</v>
      </c>
      <c r="M13">
        <f>100*(J13/C13)</f>
        <v>0.37411023915758451</v>
      </c>
      <c r="N13">
        <f>AVERAGE($M$2:M13)</f>
        <v>7.8365076891180765</v>
      </c>
      <c r="O13">
        <f>SUM($I$2:I13)/L13</f>
        <v>-0.23424995616663677</v>
      </c>
    </row>
  </sheetData>
  <pageMargins left="0.7" right="0.7" top="0.75" bottom="0.75" header="0.3" footer="0.3"/>
  <pageSetup orientation="portrait" horizontalDpi="4294967294" verticalDpi="4294967294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4"/>
  <sheetViews>
    <sheetView topLeftCell="A4" workbookViewId="0">
      <selection activeCell="C5" sqref="C5"/>
    </sheetView>
  </sheetViews>
  <sheetFormatPr defaultRowHeight="15" x14ac:dyDescent="0.25"/>
  <cols>
    <col min="3" max="3" width="31.14062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1</v>
      </c>
      <c r="B2">
        <v>8000</v>
      </c>
    </row>
    <row r="3" spans="1:11" x14ac:dyDescent="0.25">
      <c r="A3">
        <v>2</v>
      </c>
      <c r="B3">
        <v>13000</v>
      </c>
    </row>
    <row r="4" spans="1:11" x14ac:dyDescent="0.25">
      <c r="A4">
        <v>3</v>
      </c>
      <c r="B4">
        <v>23000</v>
      </c>
    </row>
    <row r="5" spans="1:11" x14ac:dyDescent="0.25">
      <c r="A5">
        <v>4</v>
      </c>
      <c r="B5">
        <v>34000</v>
      </c>
      <c r="C5">
        <f>AVERAGE(B2:B5)</f>
        <v>19500</v>
      </c>
    </row>
    <row r="6" spans="1:11" x14ac:dyDescent="0.25">
      <c r="A6">
        <v>5</v>
      </c>
      <c r="B6">
        <v>10000</v>
      </c>
      <c r="C6">
        <f>AVERAGE(B3:B6)</f>
        <v>20000</v>
      </c>
      <c r="D6">
        <f>C5</f>
        <v>19500</v>
      </c>
      <c r="E6">
        <f>D6-B6</f>
        <v>9500</v>
      </c>
      <c r="F6">
        <f>ABS(E6)</f>
        <v>9500</v>
      </c>
      <c r="G6">
        <f>SUMSQ($E$6:E6)/1</f>
        <v>90250000</v>
      </c>
      <c r="H6">
        <f>SUM($F$6:F6)/1</f>
        <v>9500</v>
      </c>
      <c r="I6">
        <f>100*(F6/B6)</f>
        <v>95</v>
      </c>
      <c r="J6">
        <f>AVERAGE($I$6:I6)</f>
        <v>95</v>
      </c>
      <c r="K6">
        <f>SUM($E$6:E6)/H6</f>
        <v>1</v>
      </c>
    </row>
    <row r="7" spans="1:11" x14ac:dyDescent="0.25">
      <c r="A7">
        <v>6</v>
      </c>
      <c r="B7">
        <v>18000</v>
      </c>
      <c r="C7">
        <f>AVERAGE(B4:B7)</f>
        <v>21250</v>
      </c>
      <c r="D7">
        <f>C6</f>
        <v>20000</v>
      </c>
      <c r="E7">
        <f>D7-B7</f>
        <v>2000</v>
      </c>
      <c r="F7">
        <f>ABS(E7)</f>
        <v>2000</v>
      </c>
      <c r="G7">
        <f>SUMSQ($E$6:E7)/2</f>
        <v>47125000</v>
      </c>
      <c r="H7">
        <f>SUM($F$6:F7)/2</f>
        <v>5750</v>
      </c>
      <c r="I7">
        <f>100*(F7/B7)</f>
        <v>11.111111111111111</v>
      </c>
      <c r="J7">
        <f>AVERAGE($I$6:I7)</f>
        <v>53.055555555555557</v>
      </c>
      <c r="K7">
        <f>SUM($E$6:E7)/H7</f>
        <v>2</v>
      </c>
    </row>
    <row r="8" spans="1:11" x14ac:dyDescent="0.25">
      <c r="A8">
        <v>7</v>
      </c>
      <c r="B8">
        <v>23000</v>
      </c>
      <c r="C8">
        <f>AVERAGE(B5:B8)</f>
        <v>21250</v>
      </c>
      <c r="D8">
        <f>C7</f>
        <v>21250</v>
      </c>
      <c r="E8">
        <f>D8-B8</f>
        <v>-1750</v>
      </c>
      <c r="F8">
        <f>ABS(E8)</f>
        <v>1750</v>
      </c>
      <c r="G8">
        <f>SUMSQ($E$6:E8)/3</f>
        <v>32437500</v>
      </c>
      <c r="H8">
        <f>SUM($F$6:F8)/3</f>
        <v>4416.666666666667</v>
      </c>
      <c r="I8">
        <f>100*(F8/B8)</f>
        <v>7.608695652173914</v>
      </c>
      <c r="J8">
        <f>AVERAGE($I$6:I8)</f>
        <v>37.906602254428343</v>
      </c>
      <c r="K8">
        <f>SUM($E$6:E8)/H8</f>
        <v>2.2075471698113205</v>
      </c>
    </row>
    <row r="9" spans="1:11" x14ac:dyDescent="0.25">
      <c r="A9">
        <v>8</v>
      </c>
      <c r="B9">
        <v>38000</v>
      </c>
      <c r="C9">
        <f>AVERAGE(B6:B9)</f>
        <v>22250</v>
      </c>
      <c r="D9">
        <f>C8</f>
        <v>21250</v>
      </c>
      <c r="E9">
        <f>D9-B9</f>
        <v>-16750</v>
      </c>
      <c r="F9">
        <f>ABS(E9)</f>
        <v>16750</v>
      </c>
      <c r="G9">
        <f>SUMSQ($E$6:E9)/4</f>
        <v>94468750</v>
      </c>
      <c r="H9">
        <f>SUM($F$6:F9)/4</f>
        <v>7500</v>
      </c>
      <c r="I9">
        <f>100*(F9/B9)</f>
        <v>44.078947368421048</v>
      </c>
      <c r="J9">
        <f>AVERAGE($I$6:I9)</f>
        <v>39.449688532926515</v>
      </c>
      <c r="K9">
        <f>SUM($E$6:E9)/H9</f>
        <v>-0.93333333333333335</v>
      </c>
    </row>
    <row r="10" spans="1:11" x14ac:dyDescent="0.25">
      <c r="A10">
        <v>9</v>
      </c>
      <c r="B10">
        <v>12000</v>
      </c>
      <c r="C10">
        <f>AVERAGE(B7:B10)</f>
        <v>22750</v>
      </c>
      <c r="D10">
        <f>C9</f>
        <v>22250</v>
      </c>
      <c r="E10">
        <f>D10-B10</f>
        <v>10250</v>
      </c>
      <c r="F10">
        <f>ABS(E10)</f>
        <v>10250</v>
      </c>
      <c r="G10">
        <f>SUMSQ($E$6:E10)/5</f>
        <v>96587500</v>
      </c>
      <c r="H10">
        <f>SUM($F$6:F10)/5</f>
        <v>8050</v>
      </c>
      <c r="I10">
        <f>100*(F10/B10)</f>
        <v>85.416666666666657</v>
      </c>
      <c r="J10">
        <f>AVERAGE($I$6:I10)</f>
        <v>48.643084159674544</v>
      </c>
      <c r="K10">
        <f>SUM($E$6:E10)/H10</f>
        <v>0.40372670807453415</v>
      </c>
    </row>
    <row r="11" spans="1:11" x14ac:dyDescent="0.25">
      <c r="A11">
        <v>10</v>
      </c>
      <c r="B11">
        <v>13000</v>
      </c>
      <c r="C11">
        <f>AVERAGE(B8:B11)</f>
        <v>21500</v>
      </c>
      <c r="D11">
        <f>C10</f>
        <v>22750</v>
      </c>
      <c r="E11">
        <f>D11-B11</f>
        <v>9750</v>
      </c>
      <c r="F11">
        <f>ABS(E11)</f>
        <v>9750</v>
      </c>
      <c r="G11">
        <f>SUMSQ($E$6:E11)/6</f>
        <v>96333333.333333328</v>
      </c>
      <c r="H11">
        <f>SUM($F$6:F11)/6</f>
        <v>8333.3333333333339</v>
      </c>
      <c r="I11">
        <f>100*(F11/B11)</f>
        <v>75</v>
      </c>
      <c r="J11">
        <f>AVERAGE($I$6:I11)</f>
        <v>53.03590346639546</v>
      </c>
      <c r="K11">
        <f>SUM($E$6:E11)/H11</f>
        <v>1.5599999999999998</v>
      </c>
    </row>
    <row r="12" spans="1:11" x14ac:dyDescent="0.25">
      <c r="A12">
        <v>11</v>
      </c>
      <c r="B12">
        <v>32000</v>
      </c>
      <c r="C12">
        <f>AVERAGE(B9:B12)</f>
        <v>23750</v>
      </c>
      <c r="D12">
        <f>C11</f>
        <v>21500</v>
      </c>
      <c r="E12">
        <f>D12-B12</f>
        <v>-10500</v>
      </c>
      <c r="F12">
        <f>ABS(E12)</f>
        <v>10500</v>
      </c>
      <c r="G12">
        <f>SUMSQ($E$6:E12)/7</f>
        <v>98321428.571428567</v>
      </c>
      <c r="H12">
        <f>SUM($F$6:F12)/7</f>
        <v>8642.8571428571431</v>
      </c>
      <c r="I12">
        <f>100*(F12/B12)</f>
        <v>32.8125</v>
      </c>
      <c r="J12">
        <f>AVERAGE($I$6:I12)</f>
        <v>50.146845828338961</v>
      </c>
      <c r="K12">
        <f>SUM($E$6:E12)/H12</f>
        <v>0.28925619834710742</v>
      </c>
    </row>
    <row r="13" spans="1:11" x14ac:dyDescent="0.25">
      <c r="A13">
        <v>12</v>
      </c>
      <c r="B13">
        <v>41000</v>
      </c>
      <c r="C13">
        <f>AVERAGE(B10:B13)</f>
        <v>24500</v>
      </c>
      <c r="D13">
        <f>C12</f>
        <v>23750</v>
      </c>
      <c r="E13">
        <f>D13-B13</f>
        <v>-17250</v>
      </c>
      <c r="F13">
        <f>ABS(E13)</f>
        <v>17250</v>
      </c>
      <c r="G13">
        <f>SUMSQ($E$6:E13)/8</f>
        <v>123226562.5</v>
      </c>
      <c r="H13">
        <f>SUM($F$6:F13)/8</f>
        <v>9718.75</v>
      </c>
      <c r="I13">
        <f>100*(F13/B13)</f>
        <v>42.073170731707314</v>
      </c>
      <c r="J13">
        <f>AVERAGE($I$6:I13)</f>
        <v>49.137636441260007</v>
      </c>
      <c r="K13">
        <f>SUM($E$6:E13)/H13</f>
        <v>-1.517684887459807</v>
      </c>
    </row>
    <row r="14" spans="1:11" x14ac:dyDescent="0.25">
      <c r="D14">
        <f>C13</f>
        <v>24500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4"/>
  <sheetViews>
    <sheetView workbookViewId="0">
      <selection activeCell="C3" sqref="C3"/>
    </sheetView>
  </sheetViews>
  <sheetFormatPr defaultRowHeight="15" x14ac:dyDescent="0.25"/>
  <cols>
    <col min="3" max="3" width="12.7109375" customWidth="1"/>
  </cols>
  <sheetData>
    <row r="1" spans="1:11" x14ac:dyDescent="0.25">
      <c r="A1" t="s">
        <v>0</v>
      </c>
      <c r="B1" t="s">
        <v>1</v>
      </c>
      <c r="C1" t="s">
        <v>16</v>
      </c>
      <c r="D1" t="s">
        <v>17</v>
      </c>
      <c r="E1" t="s">
        <v>12</v>
      </c>
      <c r="F1" t="s">
        <v>13</v>
      </c>
      <c r="G1" t="s">
        <v>14</v>
      </c>
      <c r="H1" t="s">
        <v>7</v>
      </c>
      <c r="I1" t="s">
        <v>8</v>
      </c>
      <c r="J1" t="s">
        <v>9</v>
      </c>
      <c r="K1" t="s">
        <v>10</v>
      </c>
    </row>
    <row r="2" spans="1:11" x14ac:dyDescent="0.25">
      <c r="A2">
        <v>0</v>
      </c>
      <c r="C2">
        <f>SUM(B3:B14)/12</f>
        <v>22083.333333333332</v>
      </c>
    </row>
    <row r="3" spans="1:11" x14ac:dyDescent="0.25">
      <c r="A3">
        <v>1</v>
      </c>
      <c r="B3">
        <v>8000</v>
      </c>
    </row>
    <row r="4" spans="1:11" x14ac:dyDescent="0.25">
      <c r="A4">
        <v>2</v>
      </c>
      <c r="B4">
        <v>13000</v>
      </c>
    </row>
    <row r="5" spans="1:11" x14ac:dyDescent="0.25">
      <c r="A5">
        <v>3</v>
      </c>
      <c r="B5">
        <v>23000</v>
      </c>
    </row>
    <row r="6" spans="1:11" x14ac:dyDescent="0.25">
      <c r="A6">
        <v>4</v>
      </c>
      <c r="B6">
        <v>34000</v>
      </c>
    </row>
    <row r="7" spans="1:11" x14ac:dyDescent="0.25">
      <c r="A7">
        <v>5</v>
      </c>
      <c r="B7">
        <v>10000</v>
      </c>
    </row>
    <row r="8" spans="1:11" x14ac:dyDescent="0.25">
      <c r="A8">
        <v>6</v>
      </c>
      <c r="B8">
        <v>18000</v>
      </c>
    </row>
    <row r="9" spans="1:11" x14ac:dyDescent="0.25">
      <c r="A9">
        <v>7</v>
      </c>
      <c r="B9">
        <v>23000</v>
      </c>
    </row>
    <row r="10" spans="1:11" x14ac:dyDescent="0.25">
      <c r="A10">
        <v>8</v>
      </c>
      <c r="B10">
        <v>38000</v>
      </c>
    </row>
    <row r="11" spans="1:11" x14ac:dyDescent="0.25">
      <c r="A11">
        <v>9</v>
      </c>
      <c r="B11">
        <v>12000</v>
      </c>
    </row>
    <row r="12" spans="1:11" x14ac:dyDescent="0.25">
      <c r="A12">
        <v>10</v>
      </c>
      <c r="B12">
        <v>13000</v>
      </c>
    </row>
    <row r="13" spans="1:11" x14ac:dyDescent="0.25">
      <c r="A13">
        <v>11</v>
      </c>
      <c r="B13">
        <v>32000</v>
      </c>
    </row>
    <row r="14" spans="1:11" x14ac:dyDescent="0.25">
      <c r="A14">
        <v>12</v>
      </c>
      <c r="B14">
        <v>41000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static_forecast</vt:lpstr>
      <vt:lpstr>moving_average</vt:lpstr>
      <vt:lpstr>simple_exponential_smoothing</vt:lpstr>
    </vt:vector>
  </TitlesOfParts>
  <Company>UC Santa Cruz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Learning Technologies</dc:creator>
  <cp:lastModifiedBy>Learning Technologies</cp:lastModifiedBy>
  <cp:lastPrinted>2019-03-05T22:23:58Z</cp:lastPrinted>
  <dcterms:created xsi:type="dcterms:W3CDTF">2019-03-04T03:40:57Z</dcterms:created>
  <dcterms:modified xsi:type="dcterms:W3CDTF">2019-03-06T09:59:45Z</dcterms:modified>
</cp:coreProperties>
</file>