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activeTab="5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</calcChain>
</file>

<file path=xl/sharedStrings.xml><?xml version="1.0" encoding="utf-8"?>
<sst xmlns="http://schemas.openxmlformats.org/spreadsheetml/2006/main" count="71" uniqueCount="26">
  <si>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</si>
  <si>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</si>
  <si>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</si>
  <si>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</si>
  <si>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</si>
  <si>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</si>
  <si>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</si>
  <si>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</si>
  <si>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</si>
  <si>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</si>
  <si>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</si>
  <si>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</si>
  <si>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</si>
  <si>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</si>
  <si>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</si>
  <si>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</si>
  <si>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</si>
  <si>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</si>
  <si>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</si>
  <si>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Alpha_simple</t>
  </si>
  <si>
    <t>Alpha_holt</t>
  </si>
  <si>
    <t>Beta_holt</t>
  </si>
  <si>
    <t>Alpha_winter</t>
  </si>
  <si>
    <t>Beta_winter</t>
  </si>
  <si>
    <t>Gamma_winter</t>
  </si>
  <si>
    <t>Seasonal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</si>
</sst>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workbookViewId="0">
      <selection activeCell="D6" sqref="D6"/>
    </sheetView>
  </sheetViews>
  <sheetFormatPr defaultRowHeight="15" x14ac:dyDescent="0.25"/>
  <cols>
    <col min="3" max="3" width="18.42578125" customWidth="1"/>
    <col min="4" max="5" width="33.42578125" customWidth="1"/>
    <col min="6" max="6" width="32.85546875" customWidth="1"/>
  </cols>
  <sheetData>
    <row r="1" spans="1:6" x14ac:dyDescent="0.25">
      <c r="A1" t="s">
        <v>0</v>
      </c>
      <c r="B1" t="s">
        <v>1</v>
      </c>
      <c r="C1" t="s">
        <v>15</v>
      </c>
      <c r="D1" t="s">
        <v>19</v>
      </c>
    </row>
    <row r="2" spans="1:6" x14ac:dyDescent="0.25">
      <c r="A2">
        <v>1</v>
      </c>
      <c r="B2">
        <v>8000</v>
      </c>
      <c r="C2">
        <v>4</v>
      </c>
      <c r="D2">
        <v>0.1</v>
      </c>
    </row>
    <row r="3" spans="1:6" x14ac:dyDescent="0.25">
      <c r="A3">
        <v>2</v>
      </c>
      <c r="B3">
        <v>13000</v>
      </c>
      <c r="D3" t="s">
        <v>20</v>
      </c>
      <c r="E3" t="s">
        <v>21</v>
      </c>
    </row>
    <row r="4" spans="1:6" x14ac:dyDescent="0.25">
      <c r="A4">
        <v>3</v>
      </c>
      <c r="B4">
        <v>23000</v>
      </c>
      <c r="D4">
        <v>0.1</v>
      </c>
      <c r="E4">
        <v>0.2</v>
      </c>
    </row>
    <row r="5" spans="1:6" x14ac:dyDescent="0.25">
      <c r="A5">
        <v>4</v>
      </c>
      <c r="B5">
        <v>34000</v>
      </c>
      <c r="D5" t="s">
        <v>22</v>
      </c>
      <c r="E5" t="s">
        <v>23</v>
      </c>
      <c r="F5" t="s">
        <v>24</v>
      </c>
    </row>
    <row r="6" spans="1:6" x14ac:dyDescent="0.25">
      <c r="A6">
        <v>5</v>
      </c>
      <c r="B6">
        <v>10000</v>
      </c>
      <c r="D6">
        <v>0.05</v>
      </c>
      <c r="E6">
        <v>0.1</v>
      </c>
      <c r="F6">
        <v>0.1</v>
      </c>
    </row>
    <row r="7" spans="1:6" x14ac:dyDescent="0.25">
      <c r="A7">
        <v>6</v>
      </c>
      <c r="B7">
        <v>18000</v>
      </c>
    </row>
    <row r="8" spans="1:6" x14ac:dyDescent="0.25">
      <c r="A8">
        <v>7</v>
      </c>
      <c r="B8">
        <v>23000</v>
      </c>
    </row>
    <row r="9" spans="1:6" x14ac:dyDescent="0.25">
      <c r="A9">
        <v>8</v>
      </c>
      <c r="B9">
        <v>38000</v>
      </c>
    </row>
    <row r="10" spans="1:6" x14ac:dyDescent="0.25">
      <c r="A10">
        <v>9</v>
      </c>
      <c r="B10">
        <v>12000</v>
      </c>
    </row>
    <row r="11" spans="1:6" x14ac:dyDescent="0.25">
      <c r="A11">
        <v>10</v>
      </c>
      <c r="B11">
        <v>13000</v>
      </c>
    </row>
    <row r="12" spans="1:6" x14ac:dyDescent="0.25">
      <c r="A12">
        <v>11</v>
      </c>
      <c r="B12">
        <v>32000</v>
      </c>
    </row>
    <row r="13" spans="1:6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workbookViewId="0">
      <selection activeCell="G2" sqref="G2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>18439+B2*524</f>
        <v>18963</v>
      </c>
      <c r="F2">
        <f>C2/E2</f>
        <v>0.42187417602699995</v>
      </c>
      <c r="G2">
        <f>SUM(F2,F6,F10,)/3</f>
        <v>0.47165904366200612</v>
      </c>
      <c r="H2">
        <f>E2*G2</f>
        <v>8944.0704449626228</v>
      </c>
      <c r="I2">
        <f>H2-C2</f>
        <v>944.07044496262279</v>
      </c>
      <c r="J2">
        <f>ABS(I2)</f>
        <v>944.07044496262279</v>
      </c>
      <c r="K2">
        <f>SUMSQ($I$2:I2)/1</f>
        <v>891269.00505192461</v>
      </c>
      <c r="L2">
        <f>SUM($J$2:J2)/1</f>
        <v>944.07044496262279</v>
      </c>
      <c r="M2">
        <f>100*(J2/C2)</f>
        <v>11.800880562032786</v>
      </c>
      <c r="N2">
        <f>AVERAGE($M$2:M2)</f>
        <v>11.800880562032786</v>
      </c>
      <c r="O2">
        <f>SUM($I$2:I2)/L2</f>
        <v>1</v>
      </c>
    </row>
    <row r="3" spans="1:15" x14ac:dyDescent="0.25">
      <c r="B3">
        <v>2</v>
      </c>
      <c r="C3">
        <v>13000</v>
      </c>
      <c r="E3">
        <f>18439+B3*524</f>
        <v>19487</v>
      </c>
      <c r="F3">
        <f>C3/E3</f>
        <v>0.66711140760507004</v>
      </c>
      <c r="G3">
        <f>SUM(F3,F7,F11,)/3</f>
        <v>0.68337026424948055</v>
      </c>
      <c r="H3">
        <f>E3*G3</f>
        <v>13316.836339429628</v>
      </c>
      <c r="I3">
        <f>H3-C3</f>
        <v>316.83633942962842</v>
      </c>
      <c r="J3">
        <f>ABS(I3)</f>
        <v>316.83633942962842</v>
      </c>
      <c r="K3">
        <f>SUMSQ($I$2:I3)/2</f>
        <v>495827.13551754568</v>
      </c>
      <c r="L3">
        <f>SUM($J$2:J3)/2</f>
        <v>630.45339219612561</v>
      </c>
      <c r="M3">
        <f>100*(J3/C3)</f>
        <v>2.4372026109971419</v>
      </c>
      <c r="N3">
        <f>AVERAGE($M$2:M3)</f>
        <v>7.1190415865149639</v>
      </c>
      <c r="O3">
        <f>SUM($I$2:I3)/L3</f>
        <v>2</v>
      </c>
    </row>
    <row r="4" spans="1:15" x14ac:dyDescent="0.25">
      <c r="B4">
        <v>3</v>
      </c>
      <c r="C4">
        <v>23000</v>
      </c>
      <c r="D4">
        <f>(C2+C6+2*SUM(C3:C5))/8</f>
        <v>19750</v>
      </c>
      <c r="E4">
        <f>18439+B4*524</f>
        <v>20011</v>
      </c>
      <c r="F4">
        <f>C4/E4</f>
        <v>1.1493678476837739</v>
      </c>
      <c r="G4">
        <f>SUM(F4,F8,F12,)/3</f>
        <v>1.1706374798527197</v>
      </c>
      <c r="H4">
        <f>E4*G4</f>
        <v>23425.626609332776</v>
      </c>
      <c r="I4">
        <f>H4-C4</f>
        <v>425.62660933277584</v>
      </c>
      <c r="J4">
        <f>ABS(I4)</f>
        <v>425.62660933277584</v>
      </c>
      <c r="K4">
        <f>SUMSQ($I$2:I4)/3</f>
        <v>390937.42720240221</v>
      </c>
      <c r="L4">
        <f>SUM($J$2:J4)/3</f>
        <v>562.17779790834231</v>
      </c>
      <c r="M4">
        <f>100*(J4/C4)</f>
        <v>1.8505504753598949</v>
      </c>
      <c r="N4">
        <f>AVERAGE($M$2:M4)</f>
        <v>5.3628778827966075</v>
      </c>
      <c r="O4">
        <f>SUM($I$2:I4)/L4</f>
        <v>3</v>
      </c>
    </row>
    <row r="5" spans="1:15" x14ac:dyDescent="0.25">
      <c r="B5">
        <v>4</v>
      </c>
      <c r="C5">
        <v>34000</v>
      </c>
      <c r="D5">
        <f>(C3+C7+2*SUM(C4:C6))/8</f>
        <v>20625</v>
      </c>
      <c r="E5">
        <f>18439+B5*524</f>
        <v>20535</v>
      </c>
      <c r="F5">
        <f>C5/E5</f>
        <v>1.6557097638178719</v>
      </c>
      <c r="G5">
        <f>SUM(F5,F9,F13,)/3</f>
        <v>1.6643096695132693</v>
      </c>
      <c r="H5">
        <f>E5*G5</f>
        <v>34176.599063454982</v>
      </c>
      <c r="I5">
        <f>H5-C5</f>
        <v>176.59906345498166</v>
      </c>
      <c r="J5">
        <f>ABS(I5)</f>
        <v>176.59906345498166</v>
      </c>
      <c r="K5">
        <f>SUMSQ($I$2:I5)/4</f>
        <v>300999.8777050958</v>
      </c>
      <c r="L5">
        <f>SUM($J$2:J5)/4</f>
        <v>465.78311429500218</v>
      </c>
      <c r="M5">
        <f>100*(J5/C5)</f>
        <v>0.5194090101617107</v>
      </c>
      <c r="N5">
        <f>AVERAGE($M$2:M5)</f>
        <v>4.1520106646378832</v>
      </c>
      <c r="O5">
        <f>SUM($I$2:I5)/L5</f>
        <v>4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  <c r="E6">
        <f>18439+B6*524</f>
        <v>21059</v>
      </c>
      <c r="F6">
        <f>C6/E6</f>
        <v>0.47485635595232445</v>
      </c>
      <c r="H6">
        <f>E6*G2</f>
        <v>9932.6678004781861</v>
      </c>
      <c r="I6">
        <f>H6-C6</f>
        <v>-67.332199521813891</v>
      </c>
      <c r="J6">
        <f>ABS(I6)</f>
        <v>67.332199521813891</v>
      </c>
      <c r="K6">
        <f>SUMSQ($I$2:I6)/5</f>
        <v>241706.62718256572</v>
      </c>
      <c r="L6">
        <f>SUM($J$2:J6)/5</f>
        <v>386.09293134036454</v>
      </c>
      <c r="M6">
        <f>100*(J6/C6)</f>
        <v>0.67332199521813885</v>
      </c>
      <c r="N6">
        <f>AVERAGE($M$2:M6)</f>
        <v>3.4562729307539342</v>
      </c>
      <c r="O6">
        <f>SUM($I$2:I6)/L6</f>
        <v>4.6512124721472485</v>
      </c>
    </row>
    <row r="7" spans="1:15" x14ac:dyDescent="0.25">
      <c r="B7">
        <v>6</v>
      </c>
      <c r="C7">
        <v>18000</v>
      </c>
      <c r="D7">
        <f>(C5+C9+2*SUM(C6:C8))/8</f>
        <v>21750</v>
      </c>
      <c r="E7">
        <f>18439+B7*524</f>
        <v>21583</v>
      </c>
      <c r="F7">
        <f>C7/E7</f>
        <v>0.83398971412685907</v>
      </c>
      <c r="H7">
        <f>E7*G3</f>
        <v>14749.180413296539</v>
      </c>
      <c r="I7">
        <f>H7-C7</f>
        <v>-3250.819586703461</v>
      </c>
      <c r="J7">
        <f>ABS(I7)</f>
        <v>3250.819586703461</v>
      </c>
      <c r="K7">
        <f>SUMSQ($I$2:I7)/6</f>
        <v>1962726.8535346149</v>
      </c>
      <c r="L7">
        <f>SUM($J$2:J7)/6</f>
        <v>863.54737390088064</v>
      </c>
      <c r="M7">
        <f>100*(J7/C7)</f>
        <v>18.060108815019227</v>
      </c>
      <c r="N7">
        <f>AVERAGE($M$2:M7)</f>
        <v>5.8902455781314833</v>
      </c>
      <c r="O7">
        <f>SUM($I$2:I7)/L7</f>
        <v>-1.6849328398424099</v>
      </c>
    </row>
    <row r="8" spans="1:15" x14ac:dyDescent="0.25">
      <c r="B8">
        <v>7</v>
      </c>
      <c r="C8">
        <v>23000</v>
      </c>
      <c r="D8">
        <f>(C6+C10+2*SUM(C7:C9))/8</f>
        <v>22500</v>
      </c>
      <c r="E8">
        <f>18439+B8*524</f>
        <v>22107</v>
      </c>
      <c r="F8">
        <f>C8/E8</f>
        <v>1.0403944451983536</v>
      </c>
      <c r="H8">
        <f>E8*G4</f>
        <v>25879.282767104076</v>
      </c>
      <c r="I8">
        <f>H8-C8</f>
        <v>2879.2827671040759</v>
      </c>
      <c r="J8">
        <f>ABS(I8)</f>
        <v>2879.2827671040759</v>
      </c>
      <c r="K8">
        <f>SUMSQ($I$2:I8)/7</f>
        <v>2866661.4820214561</v>
      </c>
      <c r="L8">
        <f>SUM($J$2:J8)/7</f>
        <v>1151.5095729299085</v>
      </c>
      <c r="M8">
        <f>100*(J8/C8)</f>
        <v>12.518620726539462</v>
      </c>
      <c r="N8">
        <f>AVERAGE($M$2:M8)</f>
        <v>6.8371563136183369</v>
      </c>
      <c r="O8">
        <f>SUM($I$2:I8)/L8</f>
        <v>1.2368663461780041</v>
      </c>
    </row>
    <row r="9" spans="1:15" x14ac:dyDescent="0.25">
      <c r="B9">
        <v>8</v>
      </c>
      <c r="C9">
        <v>38000</v>
      </c>
      <c r="D9">
        <f>(C7+C11+2*SUM(C8:C10))/8</f>
        <v>22125</v>
      </c>
      <c r="E9">
        <f>18439+B9*524</f>
        <v>22631</v>
      </c>
      <c r="F9">
        <f>C9/E9</f>
        <v>1.6791127214882242</v>
      </c>
      <c r="H9">
        <f>E9*G5</f>
        <v>37664.992130754799</v>
      </c>
      <c r="I9">
        <f>H9-C9</f>
        <v>-335.00786924520071</v>
      </c>
      <c r="J9">
        <f>ABS(I9)</f>
        <v>335.00786924520071</v>
      </c>
      <c r="K9">
        <f>SUMSQ($I$2:I9)/8</f>
        <v>2522357.5808258005</v>
      </c>
      <c r="L9">
        <f>SUM($J$2:J9)/8</f>
        <v>1049.44685996932</v>
      </c>
      <c r="M9">
        <f>100*(J9/C9)</f>
        <v>0.88159965590842293</v>
      </c>
      <c r="N9">
        <f>AVERAGE($M$2:M9)</f>
        <v>6.0927117314045978</v>
      </c>
      <c r="O9">
        <f>SUM($I$2:I9)/L9</f>
        <v>1.0379330391683221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  <c r="E10">
        <f>18439+B10*524</f>
        <v>23155</v>
      </c>
      <c r="F10">
        <f>C10/E10</f>
        <v>0.51824659900669401</v>
      </c>
      <c r="H10">
        <f>E10*G2</f>
        <v>10921.265155993751</v>
      </c>
      <c r="I10">
        <f>H10-C10</f>
        <v>-1078.7348440062487</v>
      </c>
      <c r="J10">
        <f>ABS(I10)</f>
        <v>1078.7348440062487</v>
      </c>
      <c r="K10">
        <f>SUMSQ($I$2:I10)/9</f>
        <v>2371392.1678088433</v>
      </c>
      <c r="L10">
        <f>SUM($J$2:J10)/9</f>
        <v>1052.7010804178676</v>
      </c>
      <c r="M10">
        <f>100*(J10/C10)</f>
        <v>8.9894570333854062</v>
      </c>
      <c r="N10">
        <f>AVERAGE($M$2:M10)</f>
        <v>6.4145723205135763</v>
      </c>
      <c r="O10">
        <f>SUM($I$2:I10)/L10</f>
        <v>9.9940286972860885E-3</v>
      </c>
    </row>
    <row r="11" spans="1:15" x14ac:dyDescent="0.25">
      <c r="B11">
        <v>10</v>
      </c>
      <c r="C11">
        <v>13000</v>
      </c>
      <c r="D11">
        <f>(C9+C13+2*SUM(C10:C12))/8</f>
        <v>24125</v>
      </c>
      <c r="E11">
        <f>18439+B11*524</f>
        <v>23679</v>
      </c>
      <c r="F11">
        <f>C11/E11</f>
        <v>0.54900967101651255</v>
      </c>
      <c r="H11">
        <f>E11*G3</f>
        <v>16181.52448716345</v>
      </c>
      <c r="I11">
        <f>H11-C11</f>
        <v>3181.5244871634495</v>
      </c>
      <c r="J11">
        <f>ABS(I11)</f>
        <v>3181.5244871634495</v>
      </c>
      <c r="K11">
        <f>SUMSQ($I$2:I11)/10</f>
        <v>3146462.7572700242</v>
      </c>
      <c r="L11">
        <f>SUM($J$2:J11)/10</f>
        <v>1265.5834210924259</v>
      </c>
      <c r="M11">
        <f>100*(J11/C11)</f>
        <v>24.473265285872689</v>
      </c>
      <c r="N11">
        <f>AVERAGE($M$2:M11)</f>
        <v>8.2204416170494881</v>
      </c>
      <c r="O11">
        <f>SUM($I$2:I11)/L11</f>
        <v>2.5221926573718081</v>
      </c>
    </row>
    <row r="12" spans="1:15" x14ac:dyDescent="0.25">
      <c r="B12">
        <v>11</v>
      </c>
      <c r="C12">
        <v>32000</v>
      </c>
      <c r="E12">
        <f>18439+B12*524</f>
        <v>24203</v>
      </c>
      <c r="F12">
        <f>C12/E12</f>
        <v>1.3221501466760319</v>
      </c>
      <c r="H12">
        <f>E12*G4</f>
        <v>28332.938924875376</v>
      </c>
      <c r="I12">
        <f>H12-C12</f>
        <v>-3667.061075124624</v>
      </c>
      <c r="J12">
        <f>ABS(I12)</f>
        <v>3667.061075124624</v>
      </c>
      <c r="K12">
        <f>SUMSQ($I$2:I12)/11</f>
        <v>4082905.8637631279</v>
      </c>
      <c r="L12">
        <f>SUM($J$2:J12)/11</f>
        <v>1483.8995714589894</v>
      </c>
      <c r="M12">
        <f>100*(J12/C12)</f>
        <v>11.459565859764451</v>
      </c>
      <c r="N12">
        <f>AVERAGE($M$2:M12)</f>
        <v>8.5149074572963031</v>
      </c>
      <c r="O12">
        <f>SUM($I$2:I12)/L12</f>
        <v>-0.32011321540228799</v>
      </c>
    </row>
    <row r="13" spans="1:15" x14ac:dyDescent="0.25">
      <c r="B13">
        <v>12</v>
      </c>
      <c r="C13">
        <v>41000</v>
      </c>
      <c r="E13">
        <f>18439+B13*524</f>
        <v>24727</v>
      </c>
      <c r="F13">
        <f>C13/E13</f>
        <v>1.6581065232337122</v>
      </c>
      <c r="H13">
        <f>E13*G5</f>
        <v>41153.38519805461</v>
      </c>
      <c r="I13">
        <f>H13-C13</f>
        <v>153.38519805460965</v>
      </c>
      <c r="J13">
        <f>ABS(I13)</f>
        <v>153.38519805460965</v>
      </c>
      <c r="K13">
        <f>SUMSQ($I$2:I13)/12</f>
        <v>3744624.2933647218</v>
      </c>
      <c r="L13">
        <f>SUM($J$2:J13)/12</f>
        <v>1373.0233736752909</v>
      </c>
      <c r="M13">
        <f>100*(J13/C13)</f>
        <v>0.37411023915758451</v>
      </c>
      <c r="N13">
        <f>AVERAGE($M$2:M13)</f>
        <v>7.8365076891180765</v>
      </c>
      <c r="O13">
        <f>SUM($I$2:I13)/L13</f>
        <v>-0.23424995616663677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topLeftCell="A4" workbookViewId="0">
      <selection activeCell="C5" sqref="C5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8000</v>
      </c>
    </row>
    <row r="3" spans="1:11" x14ac:dyDescent="0.25">
      <c r="A3">
        <v>2</v>
      </c>
      <c r="B3">
        <v>13000</v>
      </c>
    </row>
    <row r="4" spans="1:11" x14ac:dyDescent="0.25">
      <c r="A4">
        <v>3</v>
      </c>
      <c r="B4">
        <v>23000</v>
      </c>
    </row>
    <row r="5" spans="1:11" x14ac:dyDescent="0.25">
      <c r="A5">
        <v>4</v>
      </c>
      <c r="B5">
        <v>34000</v>
      </c>
      <c r="C5">
        <f>AVERAGE(B2:B5)</f>
        <v>19500</v>
      </c>
    </row>
    <row r="6" spans="1:11" x14ac:dyDescent="0.25">
      <c r="A6">
        <v>5</v>
      </c>
      <c r="B6">
        <v>10000</v>
      </c>
      <c r="C6">
        <f>AVERAGE(B3:B6)</f>
        <v>20000</v>
      </c>
      <c r="D6">
        <f>C5</f>
        <v>19500</v>
      </c>
      <c r="E6">
        <f>D6-B6</f>
        <v>9500</v>
      </c>
      <c r="F6">
        <f>ABS(E6)</f>
        <v>9500</v>
      </c>
      <c r="G6">
        <f>SUMSQ($E$6:E6)/1</f>
        <v>90250000</v>
      </c>
      <c r="H6">
        <f>SUM($F$6:F6)/1</f>
        <v>9500</v>
      </c>
      <c r="I6">
        <f>100*(F6/B6)</f>
        <v>95</v>
      </c>
      <c r="J6">
        <f>AVERAGE($I$6:I6)</f>
        <v>95</v>
      </c>
      <c r="K6">
        <f>SUM($E$6:E6)/H6</f>
        <v>1</v>
      </c>
    </row>
    <row r="7" spans="1:11" x14ac:dyDescent="0.25">
      <c r="A7">
        <v>6</v>
      </c>
      <c r="B7">
        <v>18000</v>
      </c>
      <c r="C7">
        <f>AVERAGE(B4:B7)</f>
        <v>21250</v>
      </c>
      <c r="D7">
        <f>C6</f>
        <v>20000</v>
      </c>
      <c r="E7">
        <f>D7-B7</f>
        <v>2000</v>
      </c>
      <c r="F7">
        <f>ABS(E7)</f>
        <v>2000</v>
      </c>
      <c r="G7">
        <f>SUMSQ($E$6:E7)/2</f>
        <v>47125000</v>
      </c>
      <c r="H7">
        <f>SUM($F$6:F7)/2</f>
        <v>5750</v>
      </c>
      <c r="I7">
        <f>100*(F7/B7)</f>
        <v>11.111111111111111</v>
      </c>
      <c r="J7">
        <f>AVERAGE($I$6:I7)</f>
        <v>53.055555555555557</v>
      </c>
      <c r="K7">
        <f>SUM($E$6:E7)/H7</f>
        <v>2</v>
      </c>
    </row>
    <row r="8" spans="1:11" x14ac:dyDescent="0.25">
      <c r="A8">
        <v>7</v>
      </c>
      <c r="B8">
        <v>23000</v>
      </c>
      <c r="C8">
        <f>AVERAGE(B5:B8)</f>
        <v>21250</v>
      </c>
      <c r="D8">
        <f>C7</f>
        <v>21250</v>
      </c>
      <c r="E8">
        <f>D8-B8</f>
        <v>-1750</v>
      </c>
      <c r="F8">
        <f>ABS(E8)</f>
        <v>1750</v>
      </c>
      <c r="G8">
        <f>SUMSQ($E$6:E8)/3</f>
        <v>32437500</v>
      </c>
      <c r="H8">
        <f>SUM($F$6:F8)/3</f>
        <v>4416.666666666667</v>
      </c>
      <c r="I8">
        <f>100*(F8/B8)</f>
        <v>7.608695652173914</v>
      </c>
      <c r="J8">
        <f>AVERAGE($I$6:I8)</f>
        <v>37.906602254428343</v>
      </c>
      <c r="K8">
        <f>SUM($E$6:E8)/H8</f>
        <v>2.2075471698113205</v>
      </c>
    </row>
    <row r="9" spans="1:11" x14ac:dyDescent="0.25">
      <c r="A9">
        <v>8</v>
      </c>
      <c r="B9">
        <v>38000</v>
      </c>
      <c r="C9">
        <f>AVERAGE(B6:B9)</f>
        <v>22250</v>
      </c>
      <c r="D9">
        <f>C8</f>
        <v>21250</v>
      </c>
      <c r="E9">
        <f>D9-B9</f>
        <v>-16750</v>
      </c>
      <c r="F9">
        <f>ABS(E9)</f>
        <v>16750</v>
      </c>
      <c r="G9">
        <f>SUMSQ($E$6:E9)/4</f>
        <v>94468750</v>
      </c>
      <c r="H9">
        <f>SUM($F$6:F9)/4</f>
        <v>7500</v>
      </c>
      <c r="I9">
        <f>100*(F9/B9)</f>
        <v>44.078947368421048</v>
      </c>
      <c r="J9">
        <f>AVERAGE($I$6:I9)</f>
        <v>39.449688532926515</v>
      </c>
      <c r="K9">
        <f>SUM($E$6:E9)/H9</f>
        <v>-0.93333333333333335</v>
      </c>
    </row>
    <row r="10" spans="1:11" x14ac:dyDescent="0.25">
      <c r="A10">
        <v>9</v>
      </c>
      <c r="B10">
        <v>12000</v>
      </c>
      <c r="C10">
        <f>AVERAGE(B7:B10)</f>
        <v>22750</v>
      </c>
      <c r="D10">
        <f>C9</f>
        <v>22250</v>
      </c>
      <c r="E10">
        <f>D10-B10</f>
        <v>10250</v>
      </c>
      <c r="F10">
        <f>ABS(E10)</f>
        <v>10250</v>
      </c>
      <c r="G10">
        <f>SUMSQ($E$6:E10)/5</f>
        <v>96587500</v>
      </c>
      <c r="H10">
        <f>SUM($F$6:F10)/5</f>
        <v>8050</v>
      </c>
      <c r="I10">
        <f>100*(F10/B10)</f>
        <v>85.416666666666657</v>
      </c>
      <c r="J10">
        <f>AVERAGE($I$6:I10)</f>
        <v>48.643084159674544</v>
      </c>
      <c r="K10">
        <f>SUM($E$6:E10)/H10</f>
        <v>0.40372670807453415</v>
      </c>
    </row>
    <row r="11" spans="1:11" x14ac:dyDescent="0.25">
      <c r="A11">
        <v>10</v>
      </c>
      <c r="B11">
        <v>13000</v>
      </c>
      <c r="C11">
        <f>AVERAGE(B8:B11)</f>
        <v>21500</v>
      </c>
      <c r="D11">
        <f>C10</f>
        <v>22750</v>
      </c>
      <c r="E11">
        <f>D11-B11</f>
        <v>9750</v>
      </c>
      <c r="F11">
        <f>ABS(E11)</f>
        <v>9750</v>
      </c>
      <c r="G11">
        <f>SUMSQ($E$6:E11)/6</f>
        <v>96333333.333333328</v>
      </c>
      <c r="H11">
        <f>SUM($F$6:F11)/6</f>
        <v>8333.3333333333339</v>
      </c>
      <c r="I11">
        <f>100*(F11/B11)</f>
        <v>75</v>
      </c>
      <c r="J11">
        <f>AVERAGE($I$6:I11)</f>
        <v>53.03590346639546</v>
      </c>
      <c r="K11">
        <f>SUM($E$6:E11)/H11</f>
        <v>1.5599999999999998</v>
      </c>
    </row>
    <row r="12" spans="1:11" x14ac:dyDescent="0.25">
      <c r="A12">
        <v>11</v>
      </c>
      <c r="B12">
        <v>32000</v>
      </c>
      <c r="C12">
        <f>AVERAGE(B9:B12)</f>
        <v>23750</v>
      </c>
      <c r="D12">
        <f>C11</f>
        <v>21500</v>
      </c>
      <c r="E12">
        <f>D12-B12</f>
        <v>-10500</v>
      </c>
      <c r="F12">
        <f>ABS(E12)</f>
        <v>10500</v>
      </c>
      <c r="G12">
        <f>SUMSQ($E$6:E12)/7</f>
        <v>98321428.571428567</v>
      </c>
      <c r="H12">
        <f>SUM($F$6:F12)/7</f>
        <v>8642.8571428571431</v>
      </c>
      <c r="I12">
        <f>100*(F12/B12)</f>
        <v>32.8125</v>
      </c>
      <c r="J12">
        <f>AVERAGE($I$6:I12)</f>
        <v>50.146845828338961</v>
      </c>
      <c r="K12">
        <f>SUM($E$6:E12)/H12</f>
        <v>0.28925619834710742</v>
      </c>
    </row>
    <row r="13" spans="1:11" x14ac:dyDescent="0.25">
      <c r="A13">
        <v>12</v>
      </c>
      <c r="B13">
        <v>41000</v>
      </c>
      <c r="C13">
        <f>AVERAGE(B10:B13)</f>
        <v>24500</v>
      </c>
      <c r="D13">
        <f>C12</f>
        <v>23750</v>
      </c>
      <c r="E13">
        <f>D13-B13</f>
        <v>-17250</v>
      </c>
      <c r="F13">
        <f>ABS(E13)</f>
        <v>17250</v>
      </c>
      <c r="G13">
        <f>SUMSQ($E$6:E13)/8</f>
        <v>123226562.5</v>
      </c>
      <c r="H13">
        <f>SUM($F$6:F13)/8</f>
        <v>9718.75</v>
      </c>
      <c r="I13">
        <f>100*(F13/B13)</f>
        <v>42.073170731707314</v>
      </c>
      <c r="J13">
        <f>AVERAGE($I$6:I13)</f>
        <v>49.137636441260007</v>
      </c>
      <c r="K13">
        <f>SUM($E$6:E13)/H13</f>
        <v>-1.517684887459807</v>
      </c>
    </row>
    <row r="14" spans="1:11" x14ac:dyDescent="0.25">
      <c r="D14">
        <f>C13</f>
        <v>24500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4" sqref="D4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22083.333333333332</v>
      </c>
    </row>
    <row r="3" spans="1:11" x14ac:dyDescent="0.25">
      <c r="A3">
        <v>1</v>
      </c>
      <c r="B3">
        <v>8000</v>
      </c>
      <c r="C3">
        <f>0.1*B3+(1-0.1)*C2</f>
        <v>20675</v>
      </c>
      <c r="D3">
        <f>C2</f>
        <v>22083.333333333332</v>
      </c>
      <c r="E3">
        <f>D3-B3</f>
        <v>14083.333333333332</v>
      </c>
      <c r="F3">
        <f>ABS(E3)</f>
        <v>14083.333333333332</v>
      </c>
      <c r="G3">
        <f>SUMSQ($E$3:E3)/1</f>
        <v>198340277.77777773</v>
      </c>
      <c r="H3">
        <f>SUM($F$3:F3)/1</f>
        <v>14083.333333333332</v>
      </c>
      <c r="I3">
        <f>100*(F3/B3)</f>
        <v>176.04166666666666</v>
      </c>
      <c r="J3">
        <f>AVERAGE($I$3:I3)</f>
        <v>176.04166666666666</v>
      </c>
      <c r="K3">
        <f>SUM($E$3:E3)/H3</f>
        <v>1</v>
      </c>
    </row>
    <row r="4" spans="1:11" x14ac:dyDescent="0.25">
      <c r="A4">
        <v>2</v>
      </c>
      <c r="B4">
        <v>13000</v>
      </c>
      <c r="C4">
        <f>0.1*B4+(1-0.1)*C3</f>
        <v>19907.5</v>
      </c>
      <c r="D4">
        <f>C3</f>
        <v>20675</v>
      </c>
      <c r="E4">
        <f>D4-B4</f>
        <v>7675</v>
      </c>
      <c r="F4">
        <f>ABS(E4)</f>
        <v>7675</v>
      </c>
      <c r="G4">
        <f>SUMSQ($E$3:E4)/2</f>
        <v>128622951.38888887</v>
      </c>
      <c r="H4">
        <f>SUM($F$3:F4)/2</f>
        <v>10879.166666666666</v>
      </c>
      <c r="I4">
        <f>100*(F4/B4)</f>
        <v>59.03846153846154</v>
      </c>
      <c r="J4">
        <f>AVERAGE($I$3:I4)</f>
        <v>117.5400641025641</v>
      </c>
      <c r="K4">
        <f>SUM($E$3:E4)/H4</f>
        <v>2</v>
      </c>
    </row>
    <row r="5" spans="1:11" x14ac:dyDescent="0.25">
      <c r="A5">
        <v>3</v>
      </c>
      <c r="B5">
        <v>23000</v>
      </c>
      <c r="C5">
        <f>0.1*B5+(1-0.1)*C4</f>
        <v>20216.75</v>
      </c>
      <c r="D5">
        <f>C4</f>
        <v>19907.5</v>
      </c>
      <c r="E5">
        <f>D5-B5</f>
        <v>-3092.5</v>
      </c>
      <c r="F5">
        <f>ABS(E5)</f>
        <v>3092.5</v>
      </c>
      <c r="G5">
        <f>SUMSQ($E$3:E5)/3</f>
        <v>88936486.342592582</v>
      </c>
      <c r="H5">
        <f>SUM($F$3:F5)/3</f>
        <v>8283.6111111111113</v>
      </c>
      <c r="I5">
        <f>100*(F5/B5)</f>
        <v>13.445652173913045</v>
      </c>
      <c r="J5">
        <f>AVERAGE($I$3:I5)</f>
        <v>82.841926793013741</v>
      </c>
      <c r="K5">
        <f>SUM($E$3:E5)/H5</f>
        <v>2.2533449582508966</v>
      </c>
    </row>
    <row r="6" spans="1:11" x14ac:dyDescent="0.25">
      <c r="A6">
        <v>4</v>
      </c>
      <c r="B6">
        <v>34000</v>
      </c>
      <c r="C6">
        <f>0.1*B6+(1-0.1)*C5</f>
        <v>21595.075000000001</v>
      </c>
      <c r="D6">
        <f>C5</f>
        <v>20216.75</v>
      </c>
      <c r="E6">
        <f>D6-B6</f>
        <v>-13783.25</v>
      </c>
      <c r="F6">
        <f>ABS(E6)</f>
        <v>13783.25</v>
      </c>
      <c r="G6">
        <f>SUMSQ($E$3:E6)/4</f>
        <v>114196859.89756943</v>
      </c>
      <c r="H6">
        <f>SUM($F$3:F6)/4</f>
        <v>9658.5208333333321</v>
      </c>
      <c r="I6">
        <f>100*(F6/B6)</f>
        <v>40.538970588235294</v>
      </c>
      <c r="J6">
        <f>AVERAGE($I$3:I6)</f>
        <v>72.266187741819138</v>
      </c>
      <c r="K6">
        <f>SUM($E$3:E6)/H6</f>
        <v>0.50552081603247556</v>
      </c>
    </row>
    <row r="7" spans="1:11" x14ac:dyDescent="0.25">
      <c r="A7">
        <v>5</v>
      </c>
      <c r="B7">
        <v>10000</v>
      </c>
      <c r="C7">
        <f>0.1*B7+(1-0.1)*C6</f>
        <v>20435.567500000001</v>
      </c>
      <c r="D7">
        <f>C6</f>
        <v>21595.075000000001</v>
      </c>
      <c r="E7">
        <f>D7-B7</f>
        <v>11595.075000000001</v>
      </c>
      <c r="F7">
        <f>ABS(E7)</f>
        <v>11595.075000000001</v>
      </c>
      <c r="G7">
        <f>SUMSQ($E$3:E7)/5</f>
        <v>118246640.76918054</v>
      </c>
      <c r="H7">
        <f>SUM($F$3:F7)/5</f>
        <v>10045.831666666665</v>
      </c>
      <c r="I7">
        <f>100*(F7/B7)</f>
        <v>115.95075000000001</v>
      </c>
      <c r="J7">
        <f>AVERAGE($I$3:I7)</f>
        <v>81.00310019345531</v>
      </c>
      <c r="K7">
        <f>SUM($E$3:E7)/H7</f>
        <v>1.6402483019905936</v>
      </c>
    </row>
    <row r="8" spans="1:11" x14ac:dyDescent="0.25">
      <c r="A8">
        <v>6</v>
      </c>
      <c r="B8">
        <v>18000</v>
      </c>
      <c r="C8">
        <f>0.1*B8+(1-0.1)*C7</f>
        <v>20192.010750000001</v>
      </c>
      <c r="D8">
        <f>C7</f>
        <v>20435.567500000001</v>
      </c>
      <c r="E8">
        <f>D8-B8</f>
        <v>2435.567500000001</v>
      </c>
      <c r="F8">
        <f>ABS(E8)</f>
        <v>2435.567500000001</v>
      </c>
      <c r="G8">
        <f>SUMSQ($E$3:E8)/6</f>
        <v>99527532.14882648</v>
      </c>
      <c r="H8">
        <f>SUM($F$3:F8)/6</f>
        <v>8777.454305555555</v>
      </c>
      <c r="I8">
        <f>100*(F8/B8)</f>
        <v>13.530930555555562</v>
      </c>
      <c r="J8">
        <f>AVERAGE($I$3:I8)</f>
        <v>69.757738587138689</v>
      </c>
      <c r="K8">
        <f>SUM($E$3:E8)/H8</f>
        <v>2.154750702759284</v>
      </c>
    </row>
    <row r="9" spans="1:11" x14ac:dyDescent="0.25">
      <c r="A9">
        <v>7</v>
      </c>
      <c r="B9">
        <v>23000</v>
      </c>
      <c r="C9">
        <f>0.1*B9+(1-0.1)*C8</f>
        <v>20472.809675</v>
      </c>
      <c r="D9">
        <f>C8</f>
        <v>20192.010750000001</v>
      </c>
      <c r="E9">
        <f>D9-B9</f>
        <v>-2807.9892499999987</v>
      </c>
      <c r="F9">
        <f>ABS(E9)</f>
        <v>2807.9892499999987</v>
      </c>
      <c r="G9">
        <f>SUMSQ($E$3:E9)/7</f>
        <v>86435713.788724914</v>
      </c>
      <c r="H9">
        <f>SUM($F$3:F9)/7</f>
        <v>7924.6735833333323</v>
      </c>
      <c r="I9">
        <f>100*(F9/B9)</f>
        <v>12.208648913043472</v>
      </c>
      <c r="J9">
        <f>AVERAGE($I$3:I9)</f>
        <v>61.53644006226795</v>
      </c>
      <c r="K9">
        <f>SUM($E$3:E9)/H9</f>
        <v>2.0322902153603954</v>
      </c>
    </row>
    <row r="10" spans="1:11" x14ac:dyDescent="0.25">
      <c r="A10">
        <v>8</v>
      </c>
      <c r="B10">
        <v>38000</v>
      </c>
      <c r="C10">
        <f>0.1*B10+(1-0.1)*C9</f>
        <v>22225.528707500001</v>
      </c>
      <c r="D10">
        <f>C9</f>
        <v>20472.809675</v>
      </c>
      <c r="E10">
        <f>D10-B10</f>
        <v>-17527.190325</v>
      </c>
      <c r="F10">
        <f>ABS(E10)</f>
        <v>17527.190325</v>
      </c>
      <c r="G10">
        <f>SUMSQ($E$3:E10)/8</f>
        <v>114031549.65123099</v>
      </c>
      <c r="H10">
        <f>SUM($F$3:F10)/8</f>
        <v>9124.9881760416665</v>
      </c>
      <c r="I10">
        <f>100*(F10/B10)</f>
        <v>46.124185065789476</v>
      </c>
      <c r="J10">
        <f>AVERAGE($I$3:I10)</f>
        <v>59.609908187708143</v>
      </c>
      <c r="K10">
        <f>SUM($E$3:E10)/H10</f>
        <v>-0.15583074895374763</v>
      </c>
    </row>
    <row r="11" spans="1:11" x14ac:dyDescent="0.25">
      <c r="A11">
        <v>9</v>
      </c>
      <c r="B11">
        <v>12000</v>
      </c>
      <c r="C11">
        <f>0.1*B11+(1-0.1)*C10</f>
        <v>21202.975836750004</v>
      </c>
      <c r="D11">
        <f>C10</f>
        <v>22225.528707500001</v>
      </c>
      <c r="E11">
        <f>D11-B11</f>
        <v>10225.528707500001</v>
      </c>
      <c r="F11">
        <f>ABS(E11)</f>
        <v>10225.528707500001</v>
      </c>
      <c r="G11">
        <f>SUMSQ($E$3:E11)/9</f>
        <v>112979314.95086162</v>
      </c>
      <c r="H11">
        <f>SUM($F$3:F11)/9</f>
        <v>9247.2704573148148</v>
      </c>
      <c r="I11">
        <f>100*(F11/B11)</f>
        <v>85.212739229166672</v>
      </c>
      <c r="J11">
        <f>AVERAGE($I$3:I11)</f>
        <v>62.454667192314645</v>
      </c>
      <c r="K11">
        <f>SUM($E$3:E11)/H11</f>
        <v>0.95201876126262708</v>
      </c>
    </row>
    <row r="12" spans="1:11" x14ac:dyDescent="0.25">
      <c r="A12">
        <v>10</v>
      </c>
      <c r="B12">
        <v>13000</v>
      </c>
      <c r="C12">
        <f>0.1*B12+(1-0.1)*C11</f>
        <v>20382.678253075002</v>
      </c>
      <c r="D12">
        <f>C11</f>
        <v>21202.975836750004</v>
      </c>
      <c r="E12">
        <f>D12-B12</f>
        <v>8202.9758367500035</v>
      </c>
      <c r="F12">
        <f>ABS(E12)</f>
        <v>8202.9758367500035</v>
      </c>
      <c r="G12">
        <f>SUMSQ($E$3:E12)/10</f>
        <v>108410264.71360591</v>
      </c>
      <c r="H12">
        <f>SUM($F$3:F12)/10</f>
        <v>9142.8409952583352</v>
      </c>
      <c r="I12">
        <f>100*(F12/B12)</f>
        <v>63.099814128846177</v>
      </c>
      <c r="J12">
        <f>AVERAGE($I$3:I12)</f>
        <v>62.519181885967804</v>
      </c>
      <c r="K12">
        <f>SUM($E$3:E12)/H12</f>
        <v>1.860094779227079</v>
      </c>
    </row>
    <row r="13" spans="1:11" x14ac:dyDescent="0.25">
      <c r="A13">
        <v>11</v>
      </c>
      <c r="B13">
        <v>32000</v>
      </c>
      <c r="C13">
        <f>0.1*B13+(1-0.1)*C12</f>
        <v>21544.410427767503</v>
      </c>
      <c r="D13">
        <f>C12</f>
        <v>20382.678253075002</v>
      </c>
      <c r="E13">
        <f>D13-B13</f>
        <v>-11617.321746924998</v>
      </c>
      <c r="F13">
        <f>ABS(E13)</f>
        <v>11617.321746924998</v>
      </c>
      <c r="G13">
        <f>SUMSQ($E$3:E13)/11</f>
        <v>110824073.79160322</v>
      </c>
      <c r="H13">
        <f>SUM($F$3:F13)/11</f>
        <v>9367.7937908643944</v>
      </c>
      <c r="I13">
        <f>100*(F13/B13)</f>
        <v>36.304130459140616</v>
      </c>
      <c r="J13">
        <f>AVERAGE($I$3:I13)</f>
        <v>60.135995392619883</v>
      </c>
      <c r="K13">
        <f>SUM($E$3:E13)/H13</f>
        <v>0.57529330555012814</v>
      </c>
    </row>
    <row r="14" spans="1:11" x14ac:dyDescent="0.25">
      <c r="A14">
        <v>12</v>
      </c>
      <c r="B14">
        <v>41000</v>
      </c>
      <c r="C14">
        <f>0.1*B14+(1-0.1)*C13</f>
        <v>23489.969384990753</v>
      </c>
      <c r="D14">
        <f>C13</f>
        <v>21544.410427767503</v>
      </c>
      <c r="E14">
        <f>D14-B14</f>
        <v>-19455.589572232497</v>
      </c>
      <c r="F14">
        <f>ABS(E14)</f>
        <v>19455.589572232497</v>
      </c>
      <c r="G14">
        <f>SUMSQ($E$3:E14)/12</f>
        <v>133132064.77589977</v>
      </c>
      <c r="H14">
        <f>SUM($F$3:F14)/12</f>
        <v>10208.443439311735</v>
      </c>
      <c r="I14">
        <f>100*(F14/B14)</f>
        <v>47.452657493249994</v>
      </c>
      <c r="J14">
        <f>AVERAGE($I$3:I14)</f>
        <v>59.07905056767239</v>
      </c>
      <c r="K14">
        <f>SUM($E$3:E14)/H14</f>
        <v>-1.3779143314254894</v>
      </c>
    </row>
    <row r="15" spans="1:11" x14ac:dyDescent="0.25">
      <c r="D15">
        <f>C14</f>
        <v>23489.969384990753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4"/>
  <sheetViews>
    <sheetView workbookViewId="0">
      <selection activeCell="E3" sqref="E3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2" x14ac:dyDescent="0.25">
      <c r="A2">
        <v>0</v>
      </c>
      <c r="C2">
        <v>12015</v>
      </c>
      <c r="D2">
        <v>1549</v>
      </c>
    </row>
    <row r="3" spans="1:12" x14ac:dyDescent="0.25">
      <c r="A3">
        <v>1</v>
      </c>
      <c r="B3">
        <v>8000</v>
      </c>
      <c r="C3">
        <f>0.1*B3+(1-0.1)*(C2+D2)</f>
        <v>13007.6</v>
      </c>
      <c r="D3">
        <f>0.2*(C3-C2)+(1-0.2)*D2</f>
        <v>1437.7200000000003</v>
      </c>
      <c r="E3">
        <f>C2+D2</f>
        <v>13564</v>
      </c>
      <c r="F3">
        <f>E3-B3</f>
        <v>5564</v>
      </c>
      <c r="G3">
        <f>ABS(F3)</f>
        <v>5564</v>
      </c>
      <c r="H3">
        <f>SUMSQ($F$3:F3)/1</f>
        <v>30958096</v>
      </c>
      <c r="I3">
        <f>SUM($G$3:G3)/1</f>
        <v>5564</v>
      </c>
      <c r="J3">
        <f>100*(G3/B3)</f>
        <v>69.55</v>
      </c>
      <c r="K3">
        <f>AVERAGE($J$3:J3)</f>
        <v>69.55</v>
      </c>
      <c r="L3">
        <f>SUM($F$3:F3)/I3</f>
        <v>1</v>
      </c>
    </row>
    <row r="4" spans="1:12" x14ac:dyDescent="0.25">
      <c r="A4">
        <v>2</v>
      </c>
      <c r="B4">
        <v>13000</v>
      </c>
      <c r="C4">
        <f>0.1*B4+(1-0.1)*(C3+D3)</f>
        <v>14300.788</v>
      </c>
      <c r="D4">
        <f>0.2*(C4-C3)+(1-0.2)*D3</f>
        <v>1408.8136000000002</v>
      </c>
      <c r="E4">
        <f>C3+D3</f>
        <v>14445.32</v>
      </c>
      <c r="F4">
        <f>E4-B4</f>
        <v>1445.3199999999997</v>
      </c>
      <c r="G4">
        <f>ABS(F4)</f>
        <v>1445.3199999999997</v>
      </c>
      <c r="H4">
        <f>SUMSQ($F$3:F4)/2</f>
        <v>16523522.951199999</v>
      </c>
      <c r="I4">
        <f>SUM($G$3:G4)/2</f>
        <v>3504.66</v>
      </c>
      <c r="J4">
        <f>100*(G4/B4)</f>
        <v>11.117846153846152</v>
      </c>
      <c r="K4">
        <f>AVERAGE($J$3:J4)</f>
        <v>40.333923076923071</v>
      </c>
      <c r="L4">
        <f>SUM($F$3:F4)/I4</f>
        <v>2</v>
      </c>
    </row>
    <row r="5" spans="1:12" x14ac:dyDescent="0.25">
      <c r="A5">
        <v>3</v>
      </c>
      <c r="B5">
        <v>23000</v>
      </c>
      <c r="C5">
        <f>0.1*B5+(1-0.1)*(C4+D4)</f>
        <v>16438.641439999999</v>
      </c>
      <c r="D5">
        <f>0.2*(C5-C4)+(1-0.2)*D4</f>
        <v>1554.621568</v>
      </c>
      <c r="E5">
        <f>C4+D4</f>
        <v>15709.6016</v>
      </c>
      <c r="F5">
        <f>E5-B5</f>
        <v>-7290.3984</v>
      </c>
      <c r="G5">
        <f>ABS(F5)</f>
        <v>7290.3984</v>
      </c>
      <c r="H5">
        <f>SUMSQ($F$3:F5)/3</f>
        <v>28732318.244374186</v>
      </c>
      <c r="I5">
        <f>SUM($G$3:G5)/3</f>
        <v>4766.5727999999999</v>
      </c>
      <c r="J5">
        <f>100*(G5/B5)</f>
        <v>31.697384347826084</v>
      </c>
      <c r="K5">
        <f>AVERAGE($J$3:J5)</f>
        <v>37.455076833890743</v>
      </c>
      <c r="L5">
        <f>SUM($F$3:F5)/I5</f>
        <v>-5.8968657732448845E-2</v>
      </c>
    </row>
    <row r="6" spans="1:12" x14ac:dyDescent="0.25">
      <c r="A6">
        <v>4</v>
      </c>
      <c r="B6">
        <v>34000</v>
      </c>
      <c r="C6">
        <f>0.1*B6+(1-0.1)*(C5+D5)</f>
        <v>19593.936707199999</v>
      </c>
      <c r="D6">
        <f>0.2*(C6-C5)+(1-0.2)*D5</f>
        <v>1874.7563078399999</v>
      </c>
      <c r="E6">
        <f>C5+D5</f>
        <v>17993.263007999998</v>
      </c>
      <c r="F6">
        <f>E6-B6</f>
        <v>-16006.736992000002</v>
      </c>
      <c r="G6">
        <f>ABS(F6)</f>
        <v>16006.736992000002</v>
      </c>
      <c r="H6">
        <f>SUMSQ($F$3:F6)/4</f>
        <v>85603145.966045946</v>
      </c>
      <c r="I6">
        <f>SUM($G$3:G6)/4</f>
        <v>7576.6138480000009</v>
      </c>
      <c r="J6">
        <f>100*(G6/B6)</f>
        <v>47.078638211764712</v>
      </c>
      <c r="K6">
        <f>AVERAGE($J$3:J6)</f>
        <v>39.860967178359232</v>
      </c>
      <c r="L6">
        <f>SUM($F$3:F6)/I6</f>
        <v>-2.1497486500911616</v>
      </c>
    </row>
    <row r="7" spans="1:12" x14ac:dyDescent="0.25">
      <c r="A7">
        <v>5</v>
      </c>
      <c r="B7">
        <v>10000</v>
      </c>
      <c r="C7">
        <f>0.1*B7+(1-0.1)*(C6+D6)</f>
        <v>20321.823713536</v>
      </c>
      <c r="D7">
        <f>0.2*(C7-C6)+(1-0.2)*D6</f>
        <v>1645.3824475392003</v>
      </c>
      <c r="E7">
        <f>C6+D6</f>
        <v>21468.69301504</v>
      </c>
      <c r="F7">
        <f>E7-B7</f>
        <v>11468.69301504</v>
      </c>
      <c r="G7">
        <f>ABS(F7)</f>
        <v>11468.69301504</v>
      </c>
      <c r="H7">
        <f>SUMSQ($F$3:F7)/5</f>
        <v>94788700.667482212</v>
      </c>
      <c r="I7">
        <f>SUM($G$3:G7)/5</f>
        <v>8355.0296814080011</v>
      </c>
      <c r="J7">
        <f>100*(G7/B7)</f>
        <v>114.68693015040002</v>
      </c>
      <c r="K7">
        <f>AVERAGE($J$3:J7)</f>
        <v>54.82615977276739</v>
      </c>
      <c r="L7">
        <f>SUM($F$3:F7)/I7</f>
        <v>-0.57679296911221467</v>
      </c>
    </row>
    <row r="8" spans="1:12" x14ac:dyDescent="0.25">
      <c r="A8">
        <v>6</v>
      </c>
      <c r="B8">
        <v>18000</v>
      </c>
      <c r="C8">
        <f>0.1*B8+(1-0.1)*(C7+D7)</f>
        <v>21570.48554496768</v>
      </c>
      <c r="D8">
        <f>0.2*(C8-C7)+(1-0.2)*D7</f>
        <v>1566.0383243176962</v>
      </c>
      <c r="E8">
        <f>C7+D7</f>
        <v>21967.206161075199</v>
      </c>
      <c r="F8">
        <f>E8-B8</f>
        <v>3967.2061610751989</v>
      </c>
      <c r="G8">
        <f>ABS(F8)</f>
        <v>3967.2061610751989</v>
      </c>
      <c r="H8">
        <f>SUMSQ($F$3:F8)/6</f>
        <v>81613704.676980674</v>
      </c>
      <c r="I8">
        <f>SUM($G$3:G8)/6</f>
        <v>7623.7257613525335</v>
      </c>
      <c r="J8">
        <f>100*(G8/B8)</f>
        <v>22.040034228195548</v>
      </c>
      <c r="K8">
        <f>AVERAGE($J$3:J8)</f>
        <v>49.361805515338752</v>
      </c>
      <c r="L8">
        <f>SUM($F$3:F8)/I8</f>
        <v>-0.11174539097451265</v>
      </c>
    </row>
    <row r="9" spans="1:12" x14ac:dyDescent="0.25">
      <c r="A9">
        <v>7</v>
      </c>
      <c r="B9">
        <v>23000</v>
      </c>
      <c r="C9">
        <f>0.1*B9+(1-0.1)*(C8+D8)</f>
        <v>23122.871482356837</v>
      </c>
      <c r="D9">
        <f>0.2*(C9-C8)+(1-0.2)*D8</f>
        <v>1563.3078469319885</v>
      </c>
      <c r="E9">
        <f>C8+D8</f>
        <v>23136.523869285375</v>
      </c>
      <c r="F9">
        <f>E9-B9</f>
        <v>136.52386928537453</v>
      </c>
      <c r="G9">
        <f>ABS(F9)</f>
        <v>136.52386928537453</v>
      </c>
      <c r="H9">
        <f>SUMSQ($F$3:F9)/7</f>
        <v>69957266.689824089</v>
      </c>
      <c r="I9">
        <f>SUM($G$3:G9)/7</f>
        <v>6554.1254910572252</v>
      </c>
      <c r="J9">
        <f>100*(G9/B9)</f>
        <v>0.59358204037119355</v>
      </c>
      <c r="K9">
        <f>AVERAGE($J$3:J9)</f>
        <v>42.394916447486246</v>
      </c>
      <c r="L9">
        <f>SUM($F$3:F9)/I9</f>
        <v>-0.10915145698316966</v>
      </c>
    </row>
    <row r="10" spans="1:12" x14ac:dyDescent="0.25">
      <c r="A10">
        <v>8</v>
      </c>
      <c r="B10">
        <v>38000</v>
      </c>
      <c r="C10">
        <f>0.1*B10+(1-0.1)*(C9+D9)</f>
        <v>26017.561396359943</v>
      </c>
      <c r="D10">
        <f>0.2*(C10-C9)+(1-0.2)*D9</f>
        <v>1829.584260346212</v>
      </c>
      <c r="E10">
        <f>C9+D9</f>
        <v>24686.179329288825</v>
      </c>
      <c r="F10">
        <f>E10-B10</f>
        <v>-13313.820670711175</v>
      </c>
      <c r="G10">
        <f>ABS(F10)</f>
        <v>13313.820670711175</v>
      </c>
      <c r="H10">
        <f>SUMSQ($F$3:F10)/8</f>
        <v>83369835.960078105</v>
      </c>
      <c r="I10">
        <f>SUM($G$3:G10)/8</f>
        <v>7399.087388513969</v>
      </c>
      <c r="J10">
        <f>100*(G10/B10)</f>
        <v>35.036370186082038</v>
      </c>
      <c r="K10">
        <f>AVERAGE($J$3:J10)</f>
        <v>41.475098164810717</v>
      </c>
      <c r="L10">
        <f>SUM($F$3:F10)/I10</f>
        <v>-1.8960734318517392</v>
      </c>
    </row>
    <row r="11" spans="1:12" x14ac:dyDescent="0.25">
      <c r="A11">
        <v>9</v>
      </c>
      <c r="B11">
        <v>12000</v>
      </c>
      <c r="C11">
        <f>0.1*B11+(1-0.1)*(C10+D10)</f>
        <v>26262.431091035538</v>
      </c>
      <c r="D11">
        <f>0.2*(C11-C10)+(1-0.2)*D10</f>
        <v>1512.6413472120887</v>
      </c>
      <c r="E11">
        <f>C10+D10</f>
        <v>27847.145656706154</v>
      </c>
      <c r="F11">
        <f>E11-B11</f>
        <v>15847.145656706154</v>
      </c>
      <c r="G11">
        <f>ABS(F11)</f>
        <v>15847.145656706154</v>
      </c>
      <c r="H11">
        <f>SUMSQ($F$3:F11)/9</f>
        <v>102010079.23838729</v>
      </c>
      <c r="I11">
        <f>SUM($G$3:G11)/9</f>
        <v>8337.760529424213</v>
      </c>
      <c r="J11">
        <f>100*(G11/B11)</f>
        <v>132.05954713921795</v>
      </c>
      <c r="K11">
        <f>AVERAGE($J$3:J11)</f>
        <v>51.540036939744851</v>
      </c>
      <c r="L11">
        <f>SUM($F$3:F11)/I11</f>
        <v>0.21803608210862024</v>
      </c>
    </row>
    <row r="12" spans="1:12" x14ac:dyDescent="0.25">
      <c r="A12">
        <v>10</v>
      </c>
      <c r="B12">
        <v>13000</v>
      </c>
      <c r="C12">
        <f>0.1*B12+(1-0.1)*(C11+D11)</f>
        <v>26297.565194422863</v>
      </c>
      <c r="D12">
        <f>0.2*(C12-C11)+(1-0.2)*D11</f>
        <v>1217.1398984471359</v>
      </c>
      <c r="E12">
        <f>C11+D11</f>
        <v>27775.072438247626</v>
      </c>
      <c r="F12">
        <f>E12-B12</f>
        <v>14775.072438247626</v>
      </c>
      <c r="G12">
        <f>ABS(F12)</f>
        <v>14775.072438247626</v>
      </c>
      <c r="H12">
        <f>SUMSQ($F$3:F12)/10</f>
        <v>113639347.87009501</v>
      </c>
      <c r="I12">
        <f>SUM($G$3:G12)/10</f>
        <v>8981.4917203065525</v>
      </c>
      <c r="J12">
        <f>100*(G12/B12)</f>
        <v>113.65440337113557</v>
      </c>
      <c r="K12">
        <f>AVERAGE($J$3:J12)</f>
        <v>57.751473582883932</v>
      </c>
      <c r="L12">
        <f>SUM($F$3:F12)/I12</f>
        <v>1.8474665004842681</v>
      </c>
    </row>
    <row r="13" spans="1:12" x14ac:dyDescent="0.25">
      <c r="A13">
        <v>11</v>
      </c>
      <c r="B13">
        <v>32000</v>
      </c>
      <c r="C13">
        <f>0.1*B13+(1-0.1)*(C12+D12)</f>
        <v>27963.234583582998</v>
      </c>
      <c r="D13">
        <f>0.2*(C13-C12)+(1-0.2)*D12</f>
        <v>1306.845796589736</v>
      </c>
      <c r="E13">
        <f>C12+D12</f>
        <v>27514.705092869997</v>
      </c>
      <c r="F13">
        <f>E13-B13</f>
        <v>-4485.2949071300027</v>
      </c>
      <c r="G13">
        <f>ABS(F13)</f>
        <v>4485.2949071300027</v>
      </c>
      <c r="H13">
        <f>SUMSQ($F$3:F13)/11</f>
        <v>105137395.3731706</v>
      </c>
      <c r="I13">
        <f>SUM($G$3:G13)/11</f>
        <v>8572.7465554723221</v>
      </c>
      <c r="J13">
        <f>100*(G13/B13)</f>
        <v>14.016546584781258</v>
      </c>
      <c r="K13">
        <f>AVERAGE($J$3:J13)</f>
        <v>53.775571128510961</v>
      </c>
      <c r="L13">
        <f>SUM($F$3:F13)/I13</f>
        <v>1.4123490169885335</v>
      </c>
    </row>
    <row r="14" spans="1:12" x14ac:dyDescent="0.25">
      <c r="A14">
        <v>12</v>
      </c>
      <c r="B14">
        <v>41000</v>
      </c>
      <c r="C14">
        <f>0.1*B14+(1-0.1)*(C13+D13)</f>
        <v>30443.072342155461</v>
      </c>
      <c r="D14">
        <f>0.2*(C14-C13)+(1-0.2)*D13</f>
        <v>1541.4441889862815</v>
      </c>
      <c r="E14">
        <f>C13+D13</f>
        <v>29270.080380172734</v>
      </c>
      <c r="F14">
        <f>E14-B14</f>
        <v>-11729.919619827266</v>
      </c>
      <c r="G14">
        <f>ABS(F14)</f>
        <v>11729.919619827266</v>
      </c>
      <c r="H14">
        <f>SUMSQ($F$3:F14)/12</f>
        <v>107841863.61604042</v>
      </c>
      <c r="I14">
        <f>SUM($G$3:G14)/12</f>
        <v>8835.8443108352349</v>
      </c>
      <c r="J14">
        <f>100*(G14/B14)</f>
        <v>28.609560048359185</v>
      </c>
      <c r="K14">
        <f>AVERAGE($J$3:J14)</f>
        <v>51.678403538498316</v>
      </c>
      <c r="L14">
        <f>SUM($F$3:F14)/I14</f>
        <v>4.2756587530931076E-2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4"/>
  <sheetViews>
    <sheetView tabSelected="1" workbookViewId="0">
      <selection activeCell="J30" sqref="J30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25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18439</v>
      </c>
      <c r="D2">
        <v>524</v>
      </c>
    </row>
    <row r="3" spans="1:13" x14ac:dyDescent="0.25">
      <c r="A3">
        <v>1</v>
      </c>
      <c r="B3">
        <v>8000</v>
      </c>
      <c r="E3">
        <v>0.47165904366200612</v>
      </c>
    </row>
    <row r="4" spans="1:13" x14ac:dyDescent="0.25">
      <c r="A4">
        <v>2</v>
      </c>
      <c r="B4">
        <v>13000</v>
      </c>
      <c r="E4">
        <v>0.68337026424948055</v>
      </c>
    </row>
    <row r="5" spans="1:13" x14ac:dyDescent="0.25">
      <c r="A5">
        <v>3</v>
      </c>
      <c r="B5">
        <v>23000</v>
      </c>
      <c r="E5">
        <v>1.1706374798527197</v>
      </c>
    </row>
    <row r="6" spans="1:13" x14ac:dyDescent="0.25">
      <c r="A6">
        <v>4</v>
      </c>
      <c r="B6">
        <v>34000</v>
      </c>
      <c r="E6">
        <v>1.6643096695132693</v>
      </c>
    </row>
    <row r="7" spans="1:13" x14ac:dyDescent="0.25">
      <c r="A7">
        <v>5</v>
      </c>
      <c r="B7">
        <v>10000</v>
      </c>
    </row>
    <row r="8" spans="1:13" x14ac:dyDescent="0.25">
      <c r="A8">
        <v>6</v>
      </c>
      <c r="B8">
        <v>18000</v>
      </c>
    </row>
    <row r="9" spans="1:13" x14ac:dyDescent="0.25">
      <c r="A9">
        <v>7</v>
      </c>
      <c r="B9">
        <v>23000</v>
      </c>
    </row>
    <row r="10" spans="1:13" x14ac:dyDescent="0.25">
      <c r="A10">
        <v>8</v>
      </c>
      <c r="B10">
        <v>38000</v>
      </c>
    </row>
    <row r="11" spans="1:13" x14ac:dyDescent="0.25">
      <c r="A11">
        <v>9</v>
      </c>
      <c r="B11">
        <v>12000</v>
      </c>
    </row>
    <row r="12" spans="1:13" x14ac:dyDescent="0.25">
      <c r="A12">
        <v>10</v>
      </c>
      <c r="B12">
        <v>13000</v>
      </c>
    </row>
    <row r="13" spans="1:13" x14ac:dyDescent="0.25">
      <c r="A13">
        <v>11</v>
      </c>
      <c r="B13">
        <v>32000</v>
      </c>
    </row>
    <row r="14" spans="1:13" x14ac:dyDescent="0.25">
      <c r="A14">
        <v>12</v>
      </c>
      <c r="B14">
        <v>41000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2019-03-06T11:44:19Z</dcterms:modified>
</cp:coreProperties>
</file>