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1" activeTab="2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results" sheetId="207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s="1"/>
  <c r="B8" i="7" s="1"/>
  <c r="B10" i="7" l="1"/>
  <c r="B7" i="7"/>
  <c r="B9" i="7" s="1"/>
  <c r="B6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<sst xmlns="http://schemas.openxmlformats.org/spreadsheetml/2006/main" count="103" uniqueCount="57">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</sst>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Static_Forecast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static_forecast!$C$2:$C$13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B-4648-B486-43778C6991D2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static_forecast!$H$2:$H$17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18211.979577281858</c:v>
                </c:pt>
                <c:pt idx="2">
                  <c:v>22032.935695143773</c:v>
                </c:pt>
                <c:pt idx="3">
                  <c:v>15062.521378927779</c:v>
                </c:pt>
                <c:pt idx="4">
                  <c:v>12927.885886755386</c:v>
                </c:pt>
                <c:pt idx="5">
                  <c:v>20186.841129608238</c:v>
                </c:pt>
                <c:pt idx="6">
                  <c:v>24359.072076058153</c:v>
                </c:pt>
                <c:pt idx="7">
                  <c:v>16611.860332819197</c:v>
                </c:pt>
                <c:pt idx="8">
                  <c:v>14224.317196122369</c:v>
                </c:pt>
                <c:pt idx="9">
                  <c:v>22161.702681934617</c:v>
                </c:pt>
                <c:pt idx="10">
                  <c:v>26685.20845697253</c:v>
                </c:pt>
                <c:pt idx="11">
                  <c:v>18161.199286710613</c:v>
                </c:pt>
                <c:pt idx="12">
                  <c:v>15520.748505489353</c:v>
                </c:pt>
                <c:pt idx="13">
                  <c:v>24136.564234260997</c:v>
                </c:pt>
                <c:pt idx="14">
                  <c:v>29011.344837886914</c:v>
                </c:pt>
                <c:pt idx="15">
                  <c:v>19710.538240602025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B-4648-B486-43778C699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700400"/>
        <c:axId val="558699744"/>
      </c:lineChart>
      <c:catAx>
        <c:axId val="558700400"/>
        <c:scaling>
          <c:orientation val="minMax"/>
        </c:scaling>
        <c:delete val="0"/>
        <c:axPos val="b"/>
        <c:majorTickMark val="out"/>
        <c:minorTickMark val="none"/>
        <c:tickLblPos val="nextTo"/>
        <c:crossAx val="558699744"/>
        <c:crosses val="autoZero"/>
        <c:auto val="1"/>
        <c:lblAlgn val="ctr"/>
        <c:lblOffset val="100"/>
        <c:noMultiLvlLbl val="0"/>
      </c:catAx>
      <c:valAx>
        <c:axId val="55869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8700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Moving_average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moving_average!$B$2:$B$13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5D-41C5-98A7-23772EADEAEC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moving_average!$D$2:$D$16</c:f>
              <c:numCache>
                <c:formatCode>General</c:formatCode>
                <c:ptCount val="15"/>
                <c:pt idx="4">
                  <c:v>16750</c:v>
                </c:pt>
                <c:pt idx="5">
                  <c:v>17062.5</c:v>
                </c:pt>
                <c:pt idx="6">
                  <c:v>17479.25</c:v>
                </c:pt>
                <c:pt idx="7">
                  <c:v>18020.9175</c:v>
                </c:pt>
                <c:pt idx="8">
                  <c:v>18708.5</c:v>
                </c:pt>
                <c:pt idx="9">
                  <c:v>18958.5</c:v>
                </c:pt>
                <c:pt idx="10">
                  <c:v>19375</c:v>
                </c:pt>
                <c:pt idx="11">
                  <c:v>19791.75</c:v>
                </c:pt>
                <c:pt idx="12">
                  <c:v>20083.25</c:v>
                </c:pt>
                <c:pt idx="13">
                  <c:v>20083.25</c:v>
                </c:pt>
                <c:pt idx="14">
                  <c:v>20083.25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5D-41C5-98A7-23772EAD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631608"/>
        <c:axId val="140631936"/>
      </c:lineChart>
      <c:catAx>
        <c:axId val="140631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0631936"/>
        <c:crosses val="autoZero"/>
        <c:auto val="1"/>
        <c:lblAlgn val="ctr"/>
        <c:lblOffset val="100"/>
        <c:noMultiLvlLbl val="0"/>
      </c:catAx>
      <c:valAx>
        <c:axId val="1406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631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Simple_Exponential_Smoothing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simple_exponential_smoothing!$B$3:$B$14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1C8-919A-BEB089DA8C87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simple_exponential_smoothing!$D$6:$D$20</c:f>
              <c:numCache>
                <c:formatCode>General</c:formatCode>
                <c:ptCount val="15"/>
                <c:pt idx="0">
                  <c:v>18346.72825</c:v>
                </c:pt>
                <c:pt idx="1">
                  <c:v>17953.722425000004</c:v>
                </c:pt>
                <c:pt idx="2">
                  <c:v>17458.350182500006</c:v>
                </c:pt>
                <c:pt idx="3">
                  <c:v>17729.215164250007</c:v>
                </c:pt>
                <c:pt idx="4">
                  <c:v>18406.293647825005</c:v>
                </c:pt>
                <c:pt idx="5">
                  <c:v>18282.364283042505</c:v>
                </c:pt>
                <c:pt idx="6">
                  <c:v>17854.127854738254</c:v>
                </c:pt>
                <c:pt idx="7">
                  <c:v>18252.015069264427</c:v>
                </c:pt>
                <c:pt idx="8">
                  <c:v>19043.513562337987</c:v>
                </c:pt>
                <c:pt idx="9">
                  <c:v>18972.462206104188</c:v>
                </c:pt>
                <c:pt idx="10">
                  <c:v>18972.462206104188</c:v>
                </c:pt>
                <c:pt idx="11">
                  <c:v>18972.462206104188</c:v>
                </c:pt>
                <c:pt idx="12">
                  <c:v>18972.462206104188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A-41C8-919A-BEB089D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243256"/>
        <c:axId val="544243584"/>
      </c:lineChart>
      <c:catAx>
        <c:axId val="544243256"/>
        <c:scaling>
          <c:orientation val="minMax"/>
        </c:scaling>
        <c:delete val="0"/>
        <c:axPos val="b"/>
        <c:majorTickMark val="out"/>
        <c:minorTickMark val="none"/>
        <c:tickLblPos val="nextTo"/>
        <c:crossAx val="544243584"/>
        <c:crosses val="autoZero"/>
        <c:auto val="1"/>
        <c:lblAlgn val="ctr"/>
        <c:lblOffset val="100"/>
        <c:noMultiLvlLbl val="0"/>
      </c:catAx>
      <c:valAx>
        <c:axId val="54424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243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holt_smoothing!$B$3:$B$14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4-40DF-9CDC-FA5842FA5EED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holt_smoothing!$E$3:$E$18</c:f>
              <c:numCache>
                <c:formatCode>General</c:formatCode>
                <c:ptCount val="16"/>
                <c:pt idx="0">
                  <c:v>15578.063974358976</c:v>
                </c:pt>
                <c:pt idx="1">
                  <c:v>15652.487696037299</c:v>
                </c:pt>
                <c:pt idx="2">
                  <c:v>16451.41929162704</c:v>
                </c:pt>
                <c:pt idx="3">
                  <c:v>17671.42894182527</c:v>
                </c:pt>
                <c:pt idx="4">
                  <c:v>17912.676448167171</c:v>
                </c:pt>
                <c:pt idx="5">
                  <c:v>17889.878674911535</c:v>
                </c:pt>
                <c:pt idx="6">
                  <c:v>18631.603105483238</c:v>
                </c:pt>
                <c:pt idx="7">
                  <c:v>19849.823030888103</c:v>
                </c:pt>
                <c:pt idx="8">
                  <c:v>20159.26450313472</c:v>
                </c:pt>
                <c:pt idx="9">
                  <c:v>19997.87653809398</c:v>
                </c:pt>
                <c:pt idx="10">
                  <c:v>20672.629838795434</c:v>
                </c:pt>
                <c:pt idx="11">
                  <c:v>21823.195212650833</c:v>
                </c:pt>
                <c:pt idx="12">
                  <c:v>22005.500144867678</c:v>
                </c:pt>
                <c:pt idx="13">
                  <c:v>22536.824598349605</c:v>
                </c:pt>
                <c:pt idx="14">
                  <c:v>23068.14905183153</c:v>
                </c:pt>
                <c:pt idx="15">
                  <c:v>23599.473505313457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4-40DF-9CDC-FA5842FA5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746008"/>
        <c:axId val="538746336"/>
      </c:lineChart>
      <c:catAx>
        <c:axId val="538746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8746336"/>
        <c:crosses val="autoZero"/>
        <c:auto val="1"/>
        <c:lblAlgn val="ctr"/>
        <c:lblOffset val="100"/>
        <c:noMultiLvlLbl val="0"/>
      </c:catAx>
      <c:valAx>
        <c:axId val="53874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8746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winter_smoothing!$B$3:$B$14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3-49A4-B0D7-38CFF3311066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winter_smoothing!$F$3:$F$18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18221.46007715138</c:v>
                </c:pt>
                <c:pt idx="2">
                  <c:v>22061.858721370867</c:v>
                </c:pt>
                <c:pt idx="3">
                  <c:v>15092.179045723617</c:v>
                </c:pt>
                <c:pt idx="4">
                  <c:v>12930.412442992203</c:v>
                </c:pt>
                <c:pt idx="5">
                  <c:v>20200.943804757695</c:v>
                </c:pt>
                <c:pt idx="6">
                  <c:v>24370.368726483757</c:v>
                </c:pt>
                <c:pt idx="7">
                  <c:v>16578.841919059661</c:v>
                </c:pt>
                <c:pt idx="8">
                  <c:v>14262.762220371689</c:v>
                </c:pt>
                <c:pt idx="9">
                  <c:v>22199.440667705061</c:v>
                </c:pt>
                <c:pt idx="10">
                  <c:v>26713.544241146948</c:v>
                </c:pt>
                <c:pt idx="11">
                  <c:v>18137.884118766786</c:v>
                </c:pt>
                <c:pt idx="12">
                  <c:v>15513.788020883483</c:v>
                </c:pt>
                <c:pt idx="13">
                  <c:v>24125.284185095978</c:v>
                </c:pt>
                <c:pt idx="14">
                  <c:v>28997.413183079203</c:v>
                </c:pt>
                <c:pt idx="15">
                  <c:v>19704.618054037426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3-49A4-B0D7-38CFF331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0121360"/>
        <c:axId val="540122016"/>
      </c:lineChart>
      <c:catAx>
        <c:axId val="540121360"/>
        <c:scaling>
          <c:orientation val="minMax"/>
        </c:scaling>
        <c:delete val="0"/>
        <c:axPos val="b"/>
        <c:majorTickMark val="out"/>
        <c:minorTickMark val="none"/>
        <c:tickLblPos val="nextTo"/>
        <c:crossAx val="540122016"/>
        <c:crosses val="autoZero"/>
        <c:auto val="1"/>
        <c:lblAlgn val="ctr"/>
        <c:lblOffset val="100"/>
        <c:noMultiLvlLbl val="0"/>
      </c:catAx>
      <c:valAx>
        <c:axId val="54012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121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609600</xdr:colOff>
      <xdr:row>12</xdr:row>
      <xdr:rowOff>161925</xdr:rowOff>
    </xdr:from>
    <xdr:to>
      <xdr:col>9</xdr:col>
      <xdr:colOff>1143000</xdr:colOff>
      <xdr:row>27</xdr:row>
      <xdr:rowOff>47625</xdr:rowOff>
    </xdr:to>
    <xdr:graphicFrame macro="">
      <xdr:nvGraphicFramePr>
        <xdr:cNvPr id="10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409575</xdr:colOff>
      <xdr:row>12</xdr:row>
      <xdr:rowOff>161925</xdr:rowOff>
    </xdr:from>
    <xdr:to>
      <xdr:col>16</xdr:col>
      <xdr:colOff>104775</xdr:colOff>
      <xdr:row>27</xdr:row>
      <xdr:rowOff>47625</xdr:rowOff>
    </xdr:to>
    <xdr:graphicFrame macro="">
      <xdr:nvGraphicFramePr>
        <xdr:cNvPr id="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12</xdr:row>
      <xdr:rowOff>161925</xdr:rowOff>
    </xdr:from>
    <xdr:to>
      <xdr:col>18</xdr:col>
      <xdr:colOff>114300</xdr:colOff>
      <xdr:row>27</xdr:row>
      <xdr:rowOff>47625</xdr:rowOff>
    </xdr:to>
    <xdr:graphicFrame macro="">
      <xdr:nvGraphicFramePr>
        <xdr:cNvPr id="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12</xdr:row>
      <xdr:rowOff>161925</xdr:rowOff>
    </xdr:from>
    <xdr:to>
      <xdr:col>18</xdr:col>
      <xdr:colOff>352425</xdr:colOff>
      <xdr:row>27</xdr:row>
      <xdr:rowOff>47625</xdr:rowOff>
    </xdr:to>
    <xdr:graphicFrame macro="">
      <xdr:nvGraphicFramePr>
        <xdr:cNvPr id="3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12</xdr:row>
      <xdr:rowOff>161925</xdr:rowOff>
    </xdr:from>
    <xdr:to>
      <xdr:col>17</xdr:col>
      <xdr:colOff>542925</xdr:colOff>
      <xdr:row>27</xdr:row>
      <xdr:rowOff>47625</xdr:rowOff>
    </xdr:to>
    <xdr:graphicFrame macro="">
      <xdr:nvGraphicFramePr>
        <xdr:cNvPr id="16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"/>
  <sheetViews>
    <sheetView zoomScale="85" zoomScaleNormal="85" workbookViewId="0">
      <selection activeCell="C14" sqref="C14"/>
    </sheetView>
  </sheetViews>
  <sheetFormatPr defaultRowHeight="15" x14ac:dyDescent="0.25"/>
  <cols>
    <col min="1" max="1" width="26.7109375" customWidth="1"/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20167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17167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</v>
      </c>
      <c r="D11" s="4" t="s">
        <v>46</v>
      </c>
    </row>
    <row r="12" spans="1:11" x14ac:dyDescent="0.25">
      <c r="A12">
        <v>11</v>
      </c>
      <c r="B12">
        <v>26167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</v>
      </c>
      <c r="D13" s="9">
        <v>0.95</v>
      </c>
      <c r="E13">
        <v>2</v>
      </c>
    </row>
    <row r="20" spans="1:1" x14ac:dyDescent="0.25">
      <c r="A20" s="14"/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opLeftCell="E1" workbookViewId="0">
      <selection activeCell="F13" sqref="F13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>15574.8415029762+B2*446.429047619048</f>
        <v>16021.270550595247</v>
      </c>
      <c r="F2" s="2">
        <f>C2/E2</f>
        <v>0.73340001112230424</v>
      </c>
      <c r="G2" s="2">
        <f>SUM(F2,F6,F10,)/3</f>
        <v>0.7260007588447005</v>
      </c>
      <c r="H2" s="2">
        <f>E2*G2</f>
        <v>11631.454577388402</v>
      </c>
      <c r="I2" s="2">
        <f>H2-C2</f>
        <v>-118.54542261159804</v>
      </c>
      <c r="J2" s="2">
        <f>ABS(I2)</f>
        <v>118.54542261159804</v>
      </c>
      <c r="K2" s="2">
        <f>SUMSQ($I$2:I2)/1</f>
        <v>14053.01722216238</v>
      </c>
      <c r="L2" s="2">
        <f>SUM($J$2:J2)/1</f>
        <v>118.54542261159804</v>
      </c>
      <c r="M2" s="2">
        <f>100*(J2/C2)</f>
        <v>1.0088972137157279</v>
      </c>
      <c r="N2" s="2">
        <f>AVERAGE($M$2:M2)</f>
        <v>1.0088972137157279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>15574.8415029762+B3*446.429047619048</f>
        <v>16467.699598214294</v>
      </c>
      <c r="F3" s="2">
        <f>C3/E3</f>
        <v>1.1234113113167357</v>
      </c>
      <c r="G3" s="2">
        <f>SUM(F3,F7,F11,)/3</f>
        <v>1.1059212896533956</v>
      </c>
      <c r="H3" s="2">
        <f>E3*G3</f>
        <v>18211.979577281858</v>
      </c>
      <c r="I3" s="2">
        <f>H3-C3</f>
        <v>-288.02042271814207</v>
      </c>
      <c r="J3" s="2">
        <f>ABS(I3)</f>
        <v>288.02042271814207</v>
      </c>
      <c r="K3" s="2">
        <f>SUMSQ($I$2:I3)/2</f>
        <v>48504.390562449815</v>
      </c>
      <c r="L3" s="2">
        <f>SUM($J$2:J3)/2</f>
        <v>203.28292266487006</v>
      </c>
      <c r="M3" s="2">
        <f>100*(J3/C3)</f>
        <v>1.5568671498277948</v>
      </c>
      <c r="N3" s="2">
        <f>AVERAGE($M$2:M3)</f>
        <v>1.2828821817717615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>(C2+C6+2*SUM(C3:C5))/8</f>
        <v>16906.25</v>
      </c>
      <c r="E4" s="2">
        <f>15574.8415029762+B4*446.429047619048</f>
        <v>16914.128645833345</v>
      </c>
      <c r="F4" s="2">
        <f>C4/E4</f>
        <v>1.3203949471852712</v>
      </c>
      <c r="G4" s="2">
        <f>SUM(F4,F8,F12,)/3</f>
        <v>1.3026349838347364</v>
      </c>
      <c r="H4" s="2">
        <f>E4*G4</f>
        <v>22032.935695143773</v>
      </c>
      <c r="I4" s="2">
        <f>H4-C4</f>
        <v>-300.3943048562287</v>
      </c>
      <c r="J4" s="2">
        <f>ABS(I4)</f>
        <v>300.3943048562287</v>
      </c>
      <c r="K4" s="2">
        <f>SUMSQ($I$2:I4)/3</f>
        <v>62415.173171652168</v>
      </c>
      <c r="L4" s="2">
        <f>SUM($J$2:J4)/3</f>
        <v>235.65338339532295</v>
      </c>
      <c r="M4" s="2">
        <f>100*(J4/C4)</f>
        <v>1.3450493269755504</v>
      </c>
      <c r="N4" s="2">
        <f>AVERAGE($M$2:M4)</f>
        <v>1.3036045635063578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>(C3+C7+2*SUM(C4:C6))/8</f>
        <v>17270.875</v>
      </c>
      <c r="E5" s="2">
        <f>15574.8415029762+B5*446.429047619048</f>
        <v>17360.557693452392</v>
      </c>
      <c r="F5" s="2">
        <f>C5/E5</f>
        <v>0.83042666339211602</v>
      </c>
      <c r="G5" s="2">
        <f>SUM(F5,F9,F13,)/3</f>
        <v>0.86762888870837784</v>
      </c>
      <c r="H5" s="2">
        <f>E5*G5</f>
        <v>15062.521378927779</v>
      </c>
      <c r="I5" s="2">
        <f>H5-C5</f>
        <v>645.85137892777857</v>
      </c>
      <c r="J5" s="2">
        <f>ABS(I5)</f>
        <v>645.85137892777857</v>
      </c>
      <c r="K5" s="2">
        <f>SUMSQ($I$2:I5)/4</f>
        <v>151092.3807944674</v>
      </c>
      <c r="L5" s="2">
        <f>SUM($J$2:J5)/4</f>
        <v>338.20288227843685</v>
      </c>
      <c r="M5" s="2">
        <f>100*(J5/C5)</f>
        <v>4.4798929220671528</v>
      </c>
      <c r="N5" s="2">
        <f>AVERAGE($M$2:M5)</f>
        <v>2.0976766531465563</v>
      </c>
      <c r="O5" s="2">
        <f>SUM($I$2:I5)/L5</f>
        <v>-0.18068672521803172</v>
      </c>
    </row>
    <row r="6" spans="1:15" x14ac:dyDescent="0.25">
      <c r="A6" s="2">
        <v>2</v>
      </c>
      <c r="B6" s="2">
        <v>5</v>
      </c>
      <c r="C6" s="2">
        <v>13000</v>
      </c>
      <c r="D6" s="2">
        <f>(C4+C8+2*SUM(C5:C7))/8</f>
        <v>17750.083749999998</v>
      </c>
      <c r="E6" s="2">
        <f>15574.8415029762+B6*446.429047619048</f>
        <v>17806.98674107144</v>
      </c>
      <c r="F6" s="2">
        <f>C6/E6</f>
        <v>0.7300505239337195</v>
      </c>
      <c r="H6" s="2">
        <f>E6*G2</f>
        <v>12927.885886755386</v>
      </c>
      <c r="I6" s="2">
        <f>H6-C6</f>
        <v>-72.114113244613691</v>
      </c>
      <c r="J6" s="2">
        <f>ABS(I6)</f>
        <v>72.114113244613691</v>
      </c>
      <c r="K6" s="2">
        <f>SUMSQ($I$2:I6)/5</f>
        <v>121913.99370138531</v>
      </c>
      <c r="L6" s="2">
        <f>SUM($J$2:J6)/5</f>
        <v>284.98512847167223</v>
      </c>
      <c r="M6" s="2">
        <f>100*(J6/C6)</f>
        <v>0.55472394803548986</v>
      </c>
      <c r="N6" s="2">
        <f>AVERAGE($M$2:M6)</f>
        <v>1.7890861121243429</v>
      </c>
      <c r="O6" s="2">
        <f>SUM($I$2:I6)/L6</f>
        <v>-0.46747311067512914</v>
      </c>
    </row>
    <row r="7" spans="1:15" x14ac:dyDescent="0.25">
      <c r="B7" s="2">
        <v>6</v>
      </c>
      <c r="C7" s="2">
        <v>20167</v>
      </c>
      <c r="D7" s="2">
        <f>(C5+C9+2*SUM(C6:C8))/8</f>
        <v>18364.708749999998</v>
      </c>
      <c r="E7" s="2">
        <f>15574.8415029762+B7*446.429047619048</f>
        <v>18253.415788690487</v>
      </c>
      <c r="F7" s="2">
        <f>C7/E7</f>
        <v>1.1048343079159539</v>
      </c>
      <c r="H7" s="2">
        <f>E7*G3</f>
        <v>20186.841129608238</v>
      </c>
      <c r="I7" s="2">
        <f>H7-C7</f>
        <v>19.841129608237679</v>
      </c>
      <c r="J7" s="2">
        <f>ABS(I7)</f>
        <v>19.841129608237679</v>
      </c>
      <c r="K7" s="2">
        <f>SUMSQ($I$2:I7)/6</f>
        <v>101660.60648850957</v>
      </c>
      <c r="L7" s="2">
        <f>SUM($J$2:J7)/6</f>
        <v>240.79446199443314</v>
      </c>
      <c r="M7" s="2">
        <f>100*(J7/C7)</f>
        <v>9.8384140468278272E-2</v>
      </c>
      <c r="N7" s="2">
        <f>AVERAGE($M$2:M7)</f>
        <v>1.5073024501816654</v>
      </c>
      <c r="O7" s="2">
        <f>SUM($I$2:I7)/L7</f>
        <v>-0.4708652929783223</v>
      </c>
    </row>
    <row r="8" spans="1:15" x14ac:dyDescent="0.25">
      <c r="B8" s="2">
        <v>7</v>
      </c>
      <c r="C8" s="2">
        <v>24500</v>
      </c>
      <c r="D8" s="2">
        <f>(C6+C10+2*SUM(C7:C9))/8</f>
        <v>18833.5</v>
      </c>
      <c r="E8" s="2">
        <f>15574.8415029762+B8*446.429047619048</f>
        <v>18699.844836309538</v>
      </c>
      <c r="F8" s="2">
        <f>C8/E8</f>
        <v>1.3101712989846999</v>
      </c>
      <c r="H8" s="2">
        <f>E8*G4</f>
        <v>24359.072076058153</v>
      </c>
      <c r="I8" s="2">
        <f>H8-C8</f>
        <v>-140.92792394184653</v>
      </c>
      <c r="J8" s="2">
        <f>ABS(I8)</f>
        <v>140.92792394184653</v>
      </c>
      <c r="K8" s="2">
        <f>SUMSQ($I$2:I8)/7</f>
        <v>89974.902668230905</v>
      </c>
      <c r="L8" s="2">
        <f>SUM($J$2:J8)/7</f>
        <v>226.52781370120647</v>
      </c>
      <c r="M8" s="2">
        <f>100*(J8/C8)</f>
        <v>0.5752160160891695</v>
      </c>
      <c r="N8" s="2">
        <f>AVERAGE($M$2:M8)</f>
        <v>1.3741472453113091</v>
      </c>
      <c r="O8" s="2">
        <f>SUM($I$2:I8)/L8</f>
        <v>-1.1226421810252891</v>
      </c>
    </row>
    <row r="9" spans="1:15" x14ac:dyDescent="0.25">
      <c r="B9" s="2">
        <v>8</v>
      </c>
      <c r="C9" s="2">
        <v>17167</v>
      </c>
      <c r="D9" s="2">
        <f>(C7+C11+2*SUM(C8:C10))/8</f>
        <v>19166.75</v>
      </c>
      <c r="E9" s="2">
        <f>15574.8415029762+B9*446.429047619048</f>
        <v>19146.273883928585</v>
      </c>
      <c r="F9" s="2">
        <f>C9/E9</f>
        <v>0.8966235469142646</v>
      </c>
      <c r="H9" s="2">
        <f>E9*G5</f>
        <v>16611.860332819197</v>
      </c>
      <c r="I9" s="2">
        <f>H9-C9</f>
        <v>-555.13966718080337</v>
      </c>
      <c r="J9" s="2">
        <f>ABS(I9)</f>
        <v>555.13966718080337</v>
      </c>
      <c r="K9" s="2">
        <f>SUMSQ($I$2:I9)/8</f>
        <v>117250.54609440369</v>
      </c>
      <c r="L9" s="2">
        <f>SUM($J$2:J9)/8</f>
        <v>267.60429538615608</v>
      </c>
      <c r="M9" s="2">
        <f>100*(J9/C9)</f>
        <v>3.2337605124995825</v>
      </c>
      <c r="N9" s="2">
        <f>AVERAGE($M$2:M9)</f>
        <v>1.6065989037098432</v>
      </c>
      <c r="O9" s="2">
        <f>SUM($I$2:I9)/L9</f>
        <v>-3.0247995266636938</v>
      </c>
    </row>
    <row r="10" spans="1:15" x14ac:dyDescent="0.25">
      <c r="A10" s="2">
        <v>3</v>
      </c>
      <c r="B10" s="2">
        <v>9</v>
      </c>
      <c r="C10" s="2">
        <v>14000</v>
      </c>
      <c r="D10" s="2">
        <f>(C8+C12+2*SUM(C9:C11))/8</f>
        <v>19583.375</v>
      </c>
      <c r="E10" s="2">
        <f>15574.8415029762+B10*446.429047619048</f>
        <v>19592.702931547632</v>
      </c>
      <c r="F10" s="2">
        <f>C10/E10</f>
        <v>0.71455174147807776</v>
      </c>
      <c r="H10" s="2">
        <f>E10*G2</f>
        <v>14224.317196122369</v>
      </c>
      <c r="I10" s="2">
        <f>H10-C10</f>
        <v>224.31719612236884</v>
      </c>
      <c r="J10" s="2">
        <f>ABS(I10)</f>
        <v>224.31719612236884</v>
      </c>
      <c r="K10" s="2">
        <f>SUMSQ($I$2:I10)/9</f>
        <v>109813.61924793676</v>
      </c>
      <c r="L10" s="2">
        <f>SUM($J$2:J10)/9</f>
        <v>262.79461769017973</v>
      </c>
      <c r="M10" s="2">
        <f>100*(J10/C10)</f>
        <v>1.6022656865883489</v>
      </c>
      <c r="N10" s="2">
        <f>AVERAGE($M$2:M10)</f>
        <v>1.6061174351407881</v>
      </c>
      <c r="O10" s="2">
        <f>SUM($I$2:I10)/L10</f>
        <v>-2.2265758524197996</v>
      </c>
    </row>
    <row r="11" spans="1:15" x14ac:dyDescent="0.25">
      <c r="B11" s="2">
        <v>10</v>
      </c>
      <c r="C11" s="2">
        <v>21833</v>
      </c>
      <c r="D11" s="2">
        <f>(C9+C13+2*SUM(C10:C12))/8</f>
        <v>19937.5</v>
      </c>
      <c r="E11" s="2">
        <f>15574.8415029762+B11*446.429047619048</f>
        <v>20039.131979166679</v>
      </c>
      <c r="F11" s="2">
        <f>C11/E11</f>
        <v>1.0895182497274973</v>
      </c>
      <c r="H11" s="2">
        <f>E11*G3</f>
        <v>22161.702681934617</v>
      </c>
      <c r="I11" s="2">
        <f>H11-C11</f>
        <v>328.70268193461743</v>
      </c>
      <c r="J11" s="2">
        <f>ABS(I11)</f>
        <v>328.70268193461743</v>
      </c>
      <c r="K11" s="2">
        <f>SUMSQ($I$2:I11)/10</f>
        <v>109636.80263424412</v>
      </c>
      <c r="L11" s="2">
        <f>SUM($J$2:J11)/10</f>
        <v>269.3854241146235</v>
      </c>
      <c r="M11" s="2">
        <f>100*(J11/C11)</f>
        <v>1.5055314520891194</v>
      </c>
      <c r="N11" s="2">
        <f>AVERAGE($M$2:M11)</f>
        <v>1.5960588368356212</v>
      </c>
      <c r="O11" s="2">
        <f>SUM($I$2:I11)/L11</f>
        <v>-0.95190550417872333</v>
      </c>
    </row>
    <row r="12" spans="1:15" x14ac:dyDescent="0.25">
      <c r="B12" s="2">
        <v>11</v>
      </c>
      <c r="C12" s="2">
        <v>26167</v>
      </c>
      <c r="E12" s="2">
        <f>15574.8415029762+B12*446.429047619048</f>
        <v>20485.561026785726</v>
      </c>
      <c r="F12" s="2">
        <f>C12/E12</f>
        <v>1.2773387053342378</v>
      </c>
      <c r="H12" s="2">
        <f>E12*G4</f>
        <v>26685.20845697253</v>
      </c>
      <c r="I12" s="2">
        <f>H12-C12</f>
        <v>518.20845697253026</v>
      </c>
      <c r="J12" s="2">
        <f>ABS(I12)</f>
        <v>518.20845697253026</v>
      </c>
      <c r="K12" s="2">
        <f>SUMSQ($I$2:I12)/11</f>
        <v>124082.5482927538</v>
      </c>
      <c r="L12" s="2">
        <f>SUM($J$2:J12)/11</f>
        <v>292.00569982897866</v>
      </c>
      <c r="M12" s="2">
        <f>100*(J12/C12)</f>
        <v>1.9803892573567097</v>
      </c>
      <c r="N12" s="2">
        <f>AVERAGE($M$2:M12)</f>
        <v>1.630997965973902</v>
      </c>
      <c r="O12" s="2">
        <f>SUM($I$2:I12)/L12</f>
        <v>0.89648588765773607</v>
      </c>
    </row>
    <row r="13" spans="1:15" x14ac:dyDescent="0.25">
      <c r="B13" s="2">
        <v>12</v>
      </c>
      <c r="C13" s="2">
        <v>18333</v>
      </c>
      <c r="E13" s="2">
        <f>15574.8415029762+B13*446.429047619048</f>
        <v>20931.990074404777</v>
      </c>
      <c r="F13" s="2">
        <f>C13/E13</f>
        <v>0.87583645581875325</v>
      </c>
      <c r="H13" s="2">
        <f>E13*G5</f>
        <v>18161.199286710613</v>
      </c>
      <c r="I13" s="2">
        <f>H13-C13</f>
        <v>-171.8007132893872</v>
      </c>
      <c r="J13" s="2">
        <f>ABS(I13)</f>
        <v>171.8007132893872</v>
      </c>
      <c r="K13" s="2">
        <f>SUMSQ($I$2:I13)/12</f>
        <v>116201.95969225284</v>
      </c>
      <c r="L13" s="2">
        <f>SUM($J$2:J13)/12</f>
        <v>281.98861761734605</v>
      </c>
      <c r="M13" s="2">
        <f>100*(J13/C13)</f>
        <v>0.93711183815735122</v>
      </c>
      <c r="N13" s="2">
        <f>AVERAGE($M$2:M13)</f>
        <v>1.5731741219891893</v>
      </c>
      <c r="O13" s="2">
        <f>SUM($I$2:I13)/L13</f>
        <v>0.31908477896441984</v>
      </c>
    </row>
    <row r="14" spans="1:15" x14ac:dyDescent="0.25">
      <c r="B14" s="1">
        <f>13</f>
        <v>13</v>
      </c>
      <c r="H14" s="1">
        <f>(15574.8415029762+13*446.429047619048)*G2</f>
        <v>15520.748505489353</v>
      </c>
    </row>
    <row r="15" spans="1:15" x14ac:dyDescent="0.25">
      <c r="B15" s="1">
        <f>14</f>
        <v>14</v>
      </c>
      <c r="H15" s="1">
        <f>(15574.8415029762+14*446.429047619048)*G3</f>
        <v>24136.564234260997</v>
      </c>
    </row>
    <row r="16" spans="1:15" x14ac:dyDescent="0.25">
      <c r="B16" s="1">
        <f>15</f>
        <v>15</v>
      </c>
      <c r="H16" s="1">
        <f>(15574.8415029762+15*446.429047619048)*G4</f>
        <v>29011.344837886914</v>
      </c>
    </row>
    <row r="17" spans="2:8" x14ac:dyDescent="0.25">
      <c r="B17" s="1">
        <f>16</f>
        <v>16</v>
      </c>
      <c r="H17" s="1">
        <f>(15574.8415029762+16*446.429047619048)*G5</f>
        <v>19710.538240602025</v>
      </c>
    </row>
  </sheetData>
  <pageMargins left="0.7" right="0.7" top="0.75" bottom="0.75" header="0.3" footer="0.3"/>
  <pageSetup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tabSelected="1" workbookViewId="0">
      <selection activeCell="C26" sqref="C2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>AVERAGE(B2:B5)</f>
        <v>16750</v>
      </c>
    </row>
    <row r="6" spans="1:11" x14ac:dyDescent="0.25">
      <c r="A6" s="2">
        <v>5</v>
      </c>
      <c r="B6" s="2">
        <v>13000</v>
      </c>
      <c r="C6" s="2">
        <f>AVERAGE(B3:B6)</f>
        <v>17062.5</v>
      </c>
      <c r="D6" s="2">
        <f>C5</f>
        <v>16750</v>
      </c>
      <c r="E6" s="2">
        <f>D6-B6</f>
        <v>3750</v>
      </c>
      <c r="F6" s="2">
        <f>ABS(E6)</f>
        <v>3750</v>
      </c>
      <c r="G6" s="2">
        <f>SUMSQ($E$6:E6)/1</f>
        <v>14062500</v>
      </c>
      <c r="H6" s="2">
        <f>SUM($F$6:F6)/1</f>
        <v>3750</v>
      </c>
      <c r="I6" s="2">
        <f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20167</v>
      </c>
      <c r="C7" s="2">
        <f>AVERAGE(B4:B7)</f>
        <v>17479.25</v>
      </c>
      <c r="D7" s="2">
        <f>C6</f>
        <v>17062.5</v>
      </c>
      <c r="E7" s="2">
        <f>D7-B7</f>
        <v>-3104.5</v>
      </c>
      <c r="F7" s="2">
        <f>ABS(E7)</f>
        <v>3104.5</v>
      </c>
      <c r="G7" s="2">
        <f>SUMSQ($E$6:E7)/2</f>
        <v>11850210.125</v>
      </c>
      <c r="H7" s="2">
        <f>SUM($F$6:F7)/2</f>
        <v>3427.25</v>
      </c>
      <c r="I7" s="2">
        <f>100*(F7/B7)</f>
        <v>15.393960430406109</v>
      </c>
      <c r="J7" s="2">
        <f>AVERAGE($I$6:I7)</f>
        <v>22.120057138279975</v>
      </c>
      <c r="K7" s="2">
        <f>SUM($E$6:E7)/H7</f>
        <v>0.1883434240280108</v>
      </c>
    </row>
    <row r="8" spans="1:11" x14ac:dyDescent="0.25">
      <c r="A8" s="2">
        <v>7</v>
      </c>
      <c r="B8" s="2">
        <v>24500</v>
      </c>
      <c r="C8" s="2">
        <f>AVERAGE(B5:B8)</f>
        <v>18020.9175</v>
      </c>
      <c r="D8" s="2">
        <f>C7</f>
        <v>17479.25</v>
      </c>
      <c r="E8" s="2">
        <f>D8-B8</f>
        <v>-7020.75</v>
      </c>
      <c r="F8" s="2">
        <f>ABS(E8)</f>
        <v>7020.75</v>
      </c>
      <c r="G8" s="2">
        <f>SUMSQ($E$6:E8)/3</f>
        <v>24330450.270833332</v>
      </c>
      <c r="H8" s="2">
        <f>SUM($F$6:F8)/3</f>
        <v>4625.083333333333</v>
      </c>
      <c r="I8" s="2">
        <f>100*(F8/B8)</f>
        <v>28.656122448979595</v>
      </c>
      <c r="J8" s="2">
        <f>AVERAGE($I$6:I8)</f>
        <v>24.298745575179851</v>
      </c>
      <c r="K8" s="2">
        <f>SUM($E$6:E8)/H8</f>
        <v>-1.378407596259527</v>
      </c>
    </row>
    <row r="9" spans="1:11" x14ac:dyDescent="0.25">
      <c r="A9" s="2">
        <v>8</v>
      </c>
      <c r="B9" s="2">
        <v>17167</v>
      </c>
      <c r="C9" s="2">
        <f>AVERAGE(B6:B9)</f>
        <v>18708.5</v>
      </c>
      <c r="D9" s="2">
        <f>C8</f>
        <v>18020.9175</v>
      </c>
      <c r="E9" s="2">
        <f>D9-B9</f>
        <v>853.91749999999956</v>
      </c>
      <c r="F9" s="2">
        <f>ABS(E9)</f>
        <v>853.91749999999956</v>
      </c>
      <c r="G9" s="2">
        <f>SUMSQ($E$6:E9)/4</f>
        <v>18430131.477326561</v>
      </c>
      <c r="H9" s="2">
        <f>SUM($F$6:F9)/4</f>
        <v>3682.2918749999999</v>
      </c>
      <c r="I9" s="2">
        <f>100*(F9/B9)</f>
        <v>4.9741801130075123</v>
      </c>
      <c r="J9" s="2">
        <f>AVERAGE($I$6:I9)</f>
        <v>19.467604209636765</v>
      </c>
      <c r="K9" s="2">
        <f>SUM($E$6:E9)/H9</f>
        <v>-1.4994282602869444</v>
      </c>
    </row>
    <row r="10" spans="1:11" x14ac:dyDescent="0.25">
      <c r="A10" s="2">
        <v>9</v>
      </c>
      <c r="B10" s="2">
        <v>14000</v>
      </c>
      <c r="C10" s="2">
        <f>AVERAGE(B7:B10)</f>
        <v>18958.5</v>
      </c>
      <c r="D10" s="2">
        <f>C9</f>
        <v>18708.5</v>
      </c>
      <c r="E10" s="2">
        <f>D10-B10</f>
        <v>4708.5</v>
      </c>
      <c r="F10" s="2">
        <f>ABS(E10)</f>
        <v>4708.5</v>
      </c>
      <c r="G10" s="2">
        <f>SUMSQ($E$6:E10)/5</f>
        <v>19178099.631861247</v>
      </c>
      <c r="H10" s="2">
        <f>SUM($F$6:F10)/5</f>
        <v>3887.5335</v>
      </c>
      <c r="I10" s="2">
        <f>100*(F10/B10)</f>
        <v>33.632142857142853</v>
      </c>
      <c r="J10" s="2">
        <f>AVERAGE($I$6:I10)</f>
        <v>22.300511939137984</v>
      </c>
      <c r="K10" s="2">
        <f>SUM($E$6:E10)/H10</f>
        <v>-0.20908694420253882</v>
      </c>
    </row>
    <row r="11" spans="1:11" x14ac:dyDescent="0.25">
      <c r="A11" s="2">
        <v>10</v>
      </c>
      <c r="B11" s="2">
        <v>21833</v>
      </c>
      <c r="C11" s="2">
        <f>AVERAGE(B8:B11)</f>
        <v>19375</v>
      </c>
      <c r="D11" s="2">
        <f>C10</f>
        <v>18958.5</v>
      </c>
      <c r="E11" s="2">
        <f>D11-B11</f>
        <v>-2874.5</v>
      </c>
      <c r="F11" s="2">
        <f>ABS(E11)</f>
        <v>2874.5</v>
      </c>
      <c r="G11" s="2">
        <f>SUMSQ($E$6:E11)/6</f>
        <v>17358874.734884374</v>
      </c>
      <c r="H11" s="2">
        <f>SUM($F$6:F11)/6</f>
        <v>3718.6945833333334</v>
      </c>
      <c r="I11" s="2">
        <f>100*(F11/B11)</f>
        <v>13.165849860303211</v>
      </c>
      <c r="J11" s="2">
        <f>AVERAGE($I$6:I11)</f>
        <v>20.778068259332187</v>
      </c>
      <c r="K11" s="2">
        <f>SUM($E$6:E11)/H11</f>
        <v>-0.9915663729218599</v>
      </c>
    </row>
    <row r="12" spans="1:11" x14ac:dyDescent="0.25">
      <c r="A12" s="2">
        <v>11</v>
      </c>
      <c r="B12" s="2">
        <v>26167</v>
      </c>
      <c r="C12" s="2">
        <f>AVERAGE(B9:B12)</f>
        <v>19791.75</v>
      </c>
      <c r="D12" s="2">
        <f>C11</f>
        <v>19375</v>
      </c>
      <c r="E12" s="2">
        <f>D12-B12</f>
        <v>-6792</v>
      </c>
      <c r="F12" s="2">
        <f>ABS(E12)</f>
        <v>6792</v>
      </c>
      <c r="G12" s="2">
        <f>SUMSQ($E$6:E12)/7</f>
        <v>21469216.058472317</v>
      </c>
      <c r="H12" s="2">
        <f>SUM($F$6:F12)/7</f>
        <v>4157.7382142857141</v>
      </c>
      <c r="I12" s="2">
        <f>100*(F12/B12)</f>
        <v>25.956357243856765</v>
      </c>
      <c r="J12" s="2">
        <f>AVERAGE($I$6:I12)</f>
        <v>21.517823828549982</v>
      </c>
      <c r="K12" s="2">
        <f>SUM($E$6:E12)/H12</f>
        <v>-2.5204406722851633</v>
      </c>
    </row>
    <row r="13" spans="1:11" x14ac:dyDescent="0.25">
      <c r="A13" s="2">
        <v>12</v>
      </c>
      <c r="B13" s="2">
        <v>18333</v>
      </c>
      <c r="C13" s="2">
        <f>AVERAGE(B10:B13)</f>
        <v>20083.25</v>
      </c>
      <c r="D13" s="2">
        <f>C12</f>
        <v>19791.75</v>
      </c>
      <c r="E13" s="2">
        <f>D13-B13</f>
        <v>1458.75</v>
      </c>
      <c r="F13" s="2">
        <f>ABS(E13)</f>
        <v>1458.75</v>
      </c>
      <c r="G13" s="2">
        <f>SUMSQ($E$6:E13)/8</f>
        <v>19051557.996475779</v>
      </c>
      <c r="H13" s="2">
        <f>SUM($F$6:F13)/8</f>
        <v>3820.3646874999999</v>
      </c>
      <c r="I13" s="2">
        <f>100*(F13/B13)</f>
        <v>7.9569628538700696</v>
      </c>
      <c r="J13" s="2">
        <f>AVERAGE($I$6:I13)</f>
        <v>19.822716206714993</v>
      </c>
      <c r="K13" s="2">
        <f>SUM($E$6:E13)/H13</f>
        <v>-2.361183614097051</v>
      </c>
    </row>
    <row r="14" spans="1:11" x14ac:dyDescent="0.25">
      <c r="A14" s="1">
        <v>13</v>
      </c>
      <c r="D14" s="1">
        <f>C13</f>
        <v>20083.25</v>
      </c>
    </row>
    <row r="15" spans="1:11" x14ac:dyDescent="0.25">
      <c r="A15" s="1">
        <f>14</f>
        <v>14</v>
      </c>
      <c r="D15" s="1">
        <f>C13</f>
        <v>20083.25</v>
      </c>
    </row>
    <row r="16" spans="1:11" x14ac:dyDescent="0.25">
      <c r="A16" s="1">
        <f>15</f>
        <v>15</v>
      </c>
      <c r="D16" s="1">
        <f>C13</f>
        <v>20083.25</v>
      </c>
    </row>
    <row r="17" spans="1:4" x14ac:dyDescent="0.25">
      <c r="A17" s="1">
        <f>16</f>
        <v>16</v>
      </c>
      <c r="D17" s="1">
        <f>C13</f>
        <v>20083.25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B32" sqref="B32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18513.916666666668</v>
      </c>
    </row>
    <row r="3" spans="1:11" x14ac:dyDescent="0.25">
      <c r="A3" s="2">
        <v>1</v>
      </c>
      <c r="B3" s="2">
        <v>11750</v>
      </c>
      <c r="C3" s="2">
        <f>0.1*B3+(1-0.1)*C2</f>
        <v>17837.525000000001</v>
      </c>
      <c r="D3" s="2">
        <f>C2</f>
        <v>18513.916666666668</v>
      </c>
      <c r="E3" s="2">
        <f>D3-B3</f>
        <v>6763.9166666666679</v>
      </c>
      <c r="F3" s="2">
        <f>ABS(E3)</f>
        <v>6763.9166666666679</v>
      </c>
      <c r="G3" s="2">
        <f>SUMSQ($E$3:E3)/1</f>
        <v>45750568.673611127</v>
      </c>
      <c r="H3" s="2">
        <f>SUM($F$3:F3)/1</f>
        <v>6763.9166666666679</v>
      </c>
      <c r="I3" s="2">
        <f>100*(F3/B3)</f>
        <v>57.565248226950359</v>
      </c>
      <c r="J3" s="2">
        <f>AVERAGE($I$3:I3)</f>
        <v>57.565248226950359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>0.1*B4+(1-0.1)*C3</f>
        <v>17903.772499999999</v>
      </c>
      <c r="D4" s="2">
        <f>C3</f>
        <v>17837.525000000001</v>
      </c>
      <c r="E4" s="2">
        <f>D4-B4</f>
        <v>-662.47499999999854</v>
      </c>
      <c r="F4" s="2">
        <f>ABS(E4)</f>
        <v>662.47499999999854</v>
      </c>
      <c r="G4" s="2">
        <f>SUMSQ($E$3:E4)/2</f>
        <v>23094720.899618063</v>
      </c>
      <c r="H4" s="2">
        <f>SUM($F$3:F4)/2</f>
        <v>3713.1958333333332</v>
      </c>
      <c r="I4" s="2">
        <f>100*(F4/B4)</f>
        <v>3.5809459459459383</v>
      </c>
      <c r="J4" s="2">
        <f>AVERAGE($I$3:I4)</f>
        <v>30.573097086448151</v>
      </c>
      <c r="K4" s="2">
        <f>SUM($E$3:E4)/H4</f>
        <v>1.6431779902083457</v>
      </c>
    </row>
    <row r="5" spans="1:11" x14ac:dyDescent="0.25">
      <c r="A5" s="2">
        <v>3</v>
      </c>
      <c r="B5" s="2">
        <v>22333.33</v>
      </c>
      <c r="C5" s="2">
        <f>0.1*B5+(1-0.1)*C4</f>
        <v>18346.72825</v>
      </c>
      <c r="D5" s="2">
        <f>C4</f>
        <v>17903.772499999999</v>
      </c>
      <c r="E5" s="2">
        <f>D5-B5</f>
        <v>-4429.5575000000026</v>
      </c>
      <c r="F5" s="2">
        <f>ABS(E5)</f>
        <v>4429.5575000000026</v>
      </c>
      <c r="G5" s="2">
        <f>SUMSQ($E$3:E5)/3</f>
        <v>21936807.148347467</v>
      </c>
      <c r="H5" s="2">
        <f>SUM($F$3:F5)/3</f>
        <v>3951.9830555555563</v>
      </c>
      <c r="I5" s="2">
        <f>100*(F5/B5)</f>
        <v>19.833842512513819</v>
      </c>
      <c r="J5" s="2">
        <f>AVERAGE($I$3:I5)</f>
        <v>26.99334556180337</v>
      </c>
      <c r="K5" s="2">
        <f>SUM($E$3:E5)/H5</f>
        <v>0.42304942687352665</v>
      </c>
    </row>
    <row r="6" spans="1:11" x14ac:dyDescent="0.25">
      <c r="A6" s="2">
        <v>4</v>
      </c>
      <c r="B6" s="2">
        <v>14416.67</v>
      </c>
      <c r="C6" s="2">
        <f>0.1*B6+(1-0.1)*C5</f>
        <v>17953.722425000004</v>
      </c>
      <c r="D6" s="2">
        <f>C5</f>
        <v>18346.72825</v>
      </c>
      <c r="E6" s="2">
        <f>D6-B6</f>
        <v>3930.05825</v>
      </c>
      <c r="F6" s="2">
        <f>ABS(E6)</f>
        <v>3930.05825</v>
      </c>
      <c r="G6" s="2">
        <f>SUMSQ($E$3:E6)/4</f>
        <v>20313944.823358867</v>
      </c>
      <c r="H6" s="2">
        <f>SUM($F$3:F6)/4</f>
        <v>3946.5018541666673</v>
      </c>
      <c r="I6" s="2">
        <f>100*(F6/B6)</f>
        <v>27.260513350170324</v>
      </c>
      <c r="J6" s="2">
        <f>AVERAGE($I$3:I6)</f>
        <v>27.06013750889511</v>
      </c>
      <c r="K6" s="2">
        <f>SUM($E$3:E6)/H6</f>
        <v>1.4194703622784837</v>
      </c>
    </row>
    <row r="7" spans="1:11" x14ac:dyDescent="0.25">
      <c r="A7" s="2">
        <v>5</v>
      </c>
      <c r="B7" s="2">
        <v>13000</v>
      </c>
      <c r="C7" s="2">
        <f>0.1*B7+(1-0.1)*C6</f>
        <v>17458.350182500006</v>
      </c>
      <c r="D7" s="2">
        <f>C6</f>
        <v>17953.722425000004</v>
      </c>
      <c r="E7" s="2">
        <f>D7-B7</f>
        <v>4953.7224250000036</v>
      </c>
      <c r="F7" s="2">
        <f>ABS(E7)</f>
        <v>4953.7224250000036</v>
      </c>
      <c r="G7" s="2">
        <f>SUMSQ($E$3:E7)/5</f>
        <v>21159029.031476676</v>
      </c>
      <c r="H7" s="2">
        <f>SUM($F$3:F7)/5</f>
        <v>4147.9459683333353</v>
      </c>
      <c r="I7" s="2">
        <f>100*(F7/B7)</f>
        <v>38.105557115384642</v>
      </c>
      <c r="J7" s="2">
        <f>AVERAGE($I$3:I7)</f>
        <v>29.269221430193017</v>
      </c>
      <c r="K7" s="2">
        <f>SUM($E$3:E7)/H7</f>
        <v>2.5447932355560523</v>
      </c>
    </row>
    <row r="8" spans="1:11" x14ac:dyDescent="0.25">
      <c r="A8" s="2">
        <v>6</v>
      </c>
      <c r="B8" s="2">
        <v>20167</v>
      </c>
      <c r="C8" s="2">
        <f>0.1*B8+(1-0.1)*C7</f>
        <v>17729.215164250007</v>
      </c>
      <c r="D8" s="2">
        <f>C7</f>
        <v>17458.350182500006</v>
      </c>
      <c r="E8" s="2">
        <f>D8-B8</f>
        <v>-2708.6498174999942</v>
      </c>
      <c r="F8" s="2">
        <f>ABS(E8)</f>
        <v>2708.6498174999942</v>
      </c>
      <c r="G8" s="2">
        <f>SUMSQ($E$3:E8)/6</f>
        <v>18855321.498537689</v>
      </c>
      <c r="H8" s="2">
        <f>SUM($F$3:F8)/6</f>
        <v>3908.0632765277783</v>
      </c>
      <c r="I8" s="2">
        <f>100*(F8/B8)</f>
        <v>13.431099407447784</v>
      </c>
      <c r="J8" s="2">
        <f>AVERAGE($I$3:I8)</f>
        <v>26.629534426402145</v>
      </c>
      <c r="K8" s="2">
        <f>SUM($E$3:E8)/H8</f>
        <v>2.0079037796794741</v>
      </c>
    </row>
    <row r="9" spans="1:11" x14ac:dyDescent="0.25">
      <c r="A9" s="2">
        <v>7</v>
      </c>
      <c r="B9" s="2">
        <v>24500</v>
      </c>
      <c r="C9" s="2">
        <f>0.1*B9+(1-0.1)*C8</f>
        <v>18406.293647825005</v>
      </c>
      <c r="D9" s="2">
        <f>C8</f>
        <v>17729.215164250007</v>
      </c>
      <c r="E9" s="2">
        <f>D9-B9</f>
        <v>-6770.7848357499934</v>
      </c>
      <c r="F9" s="2">
        <f>ABS(E9)</f>
        <v>6770.7848357499934</v>
      </c>
      <c r="G9" s="2">
        <f>SUMSQ($E$3:E9)/7</f>
        <v>22710779.469035454</v>
      </c>
      <c r="H9" s="2">
        <f>SUM($F$3:F9)/7</f>
        <v>4317.0234992738087</v>
      </c>
      <c r="I9" s="2">
        <f>100*(F9/B9)</f>
        <v>27.635856472448957</v>
      </c>
      <c r="J9" s="2">
        <f>AVERAGE($I$3:I9)</f>
        <v>26.773294718694547</v>
      </c>
      <c r="K9" s="2">
        <f>SUM($E$3:E9)/H9</f>
        <v>0.24929912672417037</v>
      </c>
    </row>
    <row r="10" spans="1:11" x14ac:dyDescent="0.25">
      <c r="A10" s="2">
        <v>8</v>
      </c>
      <c r="B10" s="2">
        <v>17167</v>
      </c>
      <c r="C10" s="2">
        <f>0.1*B10+(1-0.1)*C9</f>
        <v>18282.364283042505</v>
      </c>
      <c r="D10" s="2">
        <f>C9</f>
        <v>18406.293647825005</v>
      </c>
      <c r="E10" s="2">
        <f>D10-B10</f>
        <v>1239.2936478250049</v>
      </c>
      <c r="F10" s="2">
        <f>ABS(E10)</f>
        <v>1239.2936478250049</v>
      </c>
      <c r="G10" s="2">
        <f>SUMSQ($E$3:E10)/8</f>
        <v>20063913.128598448</v>
      </c>
      <c r="H10" s="2">
        <f>SUM($F$3:F10)/8</f>
        <v>3932.3072678427084</v>
      </c>
      <c r="I10" s="2">
        <f>100*(F10/B10)</f>
        <v>7.2190461223568754</v>
      </c>
      <c r="J10" s="2">
        <f>AVERAGE($I$3:I10)</f>
        <v>24.329013644152337</v>
      </c>
      <c r="K10" s="2">
        <f>SUM($E$3:E10)/H10</f>
        <v>0.58884610955440431</v>
      </c>
    </row>
    <row r="11" spans="1:11" x14ac:dyDescent="0.25">
      <c r="A11" s="2">
        <v>9</v>
      </c>
      <c r="B11" s="2">
        <v>14000</v>
      </c>
      <c r="C11" s="2">
        <f>0.1*B11+(1-0.1)*C10</f>
        <v>17854.127854738254</v>
      </c>
      <c r="D11" s="2">
        <f>C10</f>
        <v>18282.364283042505</v>
      </c>
      <c r="E11" s="2">
        <f>D11-B11</f>
        <v>4282.3642830425051</v>
      </c>
      <c r="F11" s="2">
        <f>ABS(E11)</f>
        <v>4282.3642830425051</v>
      </c>
      <c r="G11" s="2">
        <f>SUMSQ($E$3:E11)/9</f>
        <v>19872216.542385083</v>
      </c>
      <c r="H11" s="2">
        <f>SUM($F$3:F11)/9</f>
        <v>3971.2024917537969</v>
      </c>
      <c r="I11" s="2">
        <f>100*(F11/B11)</f>
        <v>30.588316307446465</v>
      </c>
      <c r="J11" s="2">
        <f>AVERAGE($I$3:I11)</f>
        <v>25.024491717851685</v>
      </c>
      <c r="K11" s="2">
        <f>SUM($E$3:E11)/H11</f>
        <v>1.6614333147163129</v>
      </c>
    </row>
    <row r="12" spans="1:11" x14ac:dyDescent="0.25">
      <c r="A12" s="2">
        <v>10</v>
      </c>
      <c r="B12" s="2">
        <v>21833</v>
      </c>
      <c r="C12" s="2">
        <f>0.1*B12+(1-0.1)*C11</f>
        <v>18252.015069264427</v>
      </c>
      <c r="D12" s="2">
        <f>C11</f>
        <v>17854.127854738254</v>
      </c>
      <c r="E12" s="2">
        <f>D12-B12</f>
        <v>-3978.8721452617465</v>
      </c>
      <c r="F12" s="2">
        <f>ABS(E12)</f>
        <v>3978.8721452617465</v>
      </c>
      <c r="G12" s="2">
        <f>SUMSQ($E$3:E12)/10</f>
        <v>19468137.242980555</v>
      </c>
      <c r="H12" s="2">
        <f>SUM($F$3:F12)/10</f>
        <v>3971.969457104592</v>
      </c>
      <c r="I12" s="2">
        <f>100*(F12/B12)</f>
        <v>18.224120117536511</v>
      </c>
      <c r="J12" s="2">
        <f>AVERAGE($I$3:I12)</f>
        <v>24.344454557820164</v>
      </c>
      <c r="K12" s="2">
        <f>SUM($E$3:E12)/H12</f>
        <v>0.65937465086441149</v>
      </c>
    </row>
    <row r="13" spans="1:11" x14ac:dyDescent="0.25">
      <c r="A13" s="2">
        <v>11</v>
      </c>
      <c r="B13" s="2">
        <v>26167</v>
      </c>
      <c r="C13" s="2">
        <f>0.1*B13+(1-0.1)*C12</f>
        <v>19043.513562337987</v>
      </c>
      <c r="D13" s="2">
        <f>C12</f>
        <v>18252.015069264427</v>
      </c>
      <c r="E13" s="2">
        <f>D13-B13</f>
        <v>-7914.9849307355726</v>
      </c>
      <c r="F13" s="2">
        <f>ABS(E13)</f>
        <v>7914.9849307355726</v>
      </c>
      <c r="G13" s="2">
        <f>SUMSQ($E$3:E13)/11</f>
        <v>23393487.17123425</v>
      </c>
      <c r="H13" s="2">
        <f>SUM($F$3:F13)/11</f>
        <v>4330.4254092528627</v>
      </c>
      <c r="I13" s="2">
        <f>100*(F13/B13)</f>
        <v>30.24796472937506</v>
      </c>
      <c r="J13" s="2">
        <f>AVERAGE($I$3:I13)</f>
        <v>24.881137300688792</v>
      </c>
      <c r="K13" s="2">
        <f>SUM($E$3:E13)/H13</f>
        <v>-1.2229673660692035</v>
      </c>
    </row>
    <row r="14" spans="1:11" x14ac:dyDescent="0.25">
      <c r="A14" s="2">
        <v>12</v>
      </c>
      <c r="B14" s="2">
        <v>18333</v>
      </c>
      <c r="C14" s="2">
        <f>0.1*B14+(1-0.1)*C13</f>
        <v>18972.462206104188</v>
      </c>
      <c r="D14" s="2">
        <f>C13</f>
        <v>19043.513562337987</v>
      </c>
      <c r="E14" s="2">
        <f>D14-B14</f>
        <v>710.51356233798651</v>
      </c>
      <c r="F14" s="2">
        <f>ABS(E14)</f>
        <v>710.51356233798651</v>
      </c>
      <c r="G14" s="2">
        <f>SUMSQ($E$3:E14)/12</f>
        <v>21486099.033820245</v>
      </c>
      <c r="H14" s="2">
        <f>SUM($F$3:F14)/12</f>
        <v>4028.766088676623</v>
      </c>
      <c r="I14" s="2">
        <f>100*(F14/B14)</f>
        <v>3.875598987279695</v>
      </c>
      <c r="J14" s="2">
        <f>AVERAGE($I$3:I14)</f>
        <v>23.130675774571369</v>
      </c>
      <c r="K14" s="2">
        <f>SUM($E$3:E14)/H14</f>
        <v>-1.138178611874034</v>
      </c>
    </row>
    <row r="15" spans="1:11" x14ac:dyDescent="0.25">
      <c r="A15" s="1">
        <v>13</v>
      </c>
      <c r="D15" s="1">
        <f>C14</f>
        <v>18972.462206104188</v>
      </c>
    </row>
    <row r="16" spans="1:11" x14ac:dyDescent="0.25">
      <c r="A16" s="1">
        <f>14</f>
        <v>14</v>
      </c>
      <c r="D16" s="1">
        <f>C14</f>
        <v>18972.462206104188</v>
      </c>
    </row>
    <row r="17" spans="1:4" x14ac:dyDescent="0.25">
      <c r="A17" s="1">
        <f>15</f>
        <v>15</v>
      </c>
      <c r="D17" s="1">
        <f>C14</f>
        <v>18972.462206104188</v>
      </c>
    </row>
    <row r="18" spans="1:4" x14ac:dyDescent="0.25">
      <c r="A18" s="1">
        <f>16</f>
        <v>16</v>
      </c>
      <c r="D18" s="1">
        <f>C14</f>
        <v>18972.462206104188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C33" sqref="C33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15044.272575757577</v>
      </c>
      <c r="D2" s="2">
        <v>533.79139860139856</v>
      </c>
    </row>
    <row r="3" spans="1:12" x14ac:dyDescent="0.25">
      <c r="A3" s="2">
        <v>1</v>
      </c>
      <c r="B3" s="2">
        <v>11750</v>
      </c>
      <c r="C3" s="2">
        <f>0.1*B3+(1-0.1)*(C2+D2)</f>
        <v>15195.257576923079</v>
      </c>
      <c r="D3" s="2">
        <f>0.2*(C3-C2)+(1-0.2)*D2</f>
        <v>457.23011911421918</v>
      </c>
      <c r="E3" s="2">
        <f>C2+D2</f>
        <v>15578.063974358976</v>
      </c>
      <c r="F3" s="2">
        <f>E3-B3</f>
        <v>3828.0639743589763</v>
      </c>
      <c r="G3" s="2">
        <f>ABS(F3)</f>
        <v>3828.0639743589763</v>
      </c>
      <c r="H3" s="2">
        <f>SUMSQ($F$3:F3)/1</f>
        <v>14654073.791785041</v>
      </c>
      <c r="I3" s="2">
        <f>SUM($G$3:G3)/1</f>
        <v>3828.0639743589763</v>
      </c>
      <c r="J3" s="2">
        <f>100*(G3/B3)</f>
        <v>32.579267866884905</v>
      </c>
      <c r="K3" s="2">
        <f>AVERAGE($J$3:J3)</f>
        <v>32.579267866884905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>0.1*B4+(1-0.1)*(C3+D3)</f>
        <v>15937.238926433569</v>
      </c>
      <c r="D4" s="2">
        <f>0.2*(C4-C3)+(1-0.2)*D3</f>
        <v>514.18036519347334</v>
      </c>
      <c r="E4" s="2">
        <f>C3+D3</f>
        <v>15652.487696037299</v>
      </c>
      <c r="F4" s="2">
        <f>E4-B4</f>
        <v>-2847.5123039627015</v>
      </c>
      <c r="G4" s="2">
        <f>ABS(F4)</f>
        <v>2847.5123039627015</v>
      </c>
      <c r="H4" s="2">
        <f>SUMSQ($F$3:F4)/2</f>
        <v>11381200.056502007</v>
      </c>
      <c r="I4" s="2">
        <f>SUM($G$3:G4)/2</f>
        <v>3337.7881391608389</v>
      </c>
      <c r="J4" s="2">
        <f>100*(G4/B4)</f>
        <v>15.391958399798385</v>
      </c>
      <c r="K4" s="2">
        <f>AVERAGE($J$3:J4)</f>
        <v>23.985613133341644</v>
      </c>
      <c r="L4" s="2">
        <f>SUM($F$3:F4)/I4</f>
        <v>0.29377289076316199</v>
      </c>
    </row>
    <row r="5" spans="1:12" x14ac:dyDescent="0.25">
      <c r="A5" s="2">
        <v>3</v>
      </c>
      <c r="B5" s="2">
        <v>22333.33</v>
      </c>
      <c r="C5" s="2">
        <f>0.1*B5+(1-0.1)*(C4+D4)</f>
        <v>17039.610362464337</v>
      </c>
      <c r="D5" s="2">
        <f>0.2*(C5-C4)+(1-0.2)*D4</f>
        <v>631.81857936093229</v>
      </c>
      <c r="E5" s="2">
        <f>C4+D4</f>
        <v>16451.41929162704</v>
      </c>
      <c r="F5" s="2">
        <f>E5-B5</f>
        <v>-5881.9107083729614</v>
      </c>
      <c r="G5" s="2">
        <f>ABS(F5)</f>
        <v>5881.9107083729614</v>
      </c>
      <c r="H5" s="2">
        <f>SUMSQ($F$3:F5)/3</f>
        <v>19119757.898092177</v>
      </c>
      <c r="I5" s="2">
        <f>SUM($G$3:G5)/3</f>
        <v>4185.8289955648797</v>
      </c>
      <c r="J5" s="2">
        <f>100*(G5/B5)</f>
        <v>26.336917550463639</v>
      </c>
      <c r="K5" s="2">
        <f>AVERAGE($J$3:J5)</f>
        <v>24.769381272382308</v>
      </c>
      <c r="L5" s="2">
        <f>SUM($F$3:F5)/I5</f>
        <v>-1.1709410592668623</v>
      </c>
    </row>
    <row r="6" spans="1:12" x14ac:dyDescent="0.25">
      <c r="A6" s="2">
        <v>4</v>
      </c>
      <c r="B6" s="2">
        <v>14416.67</v>
      </c>
      <c r="C6" s="2">
        <f>0.1*B6+(1-0.1)*(C5+D5)</f>
        <v>17345.953047642743</v>
      </c>
      <c r="D6" s="2">
        <f>0.2*(C6-C5)+(1-0.2)*D5</f>
        <v>566.72340052442701</v>
      </c>
      <c r="E6" s="2">
        <f>C5+D5</f>
        <v>17671.42894182527</v>
      </c>
      <c r="F6" s="2">
        <f>E6-B6</f>
        <v>3254.7589418252701</v>
      </c>
      <c r="G6" s="2">
        <f>ABS(F6)</f>
        <v>3254.7589418252701</v>
      </c>
      <c r="H6" s="2">
        <f>SUMSQ($F$3:F6)/4</f>
        <v>16988182.36591702</v>
      </c>
      <c r="I6" s="2">
        <f>SUM($G$3:G6)/4</f>
        <v>3953.0614821299773</v>
      </c>
      <c r="J6" s="2">
        <f>100*(G6/B6)</f>
        <v>22.576357382289185</v>
      </c>
      <c r="K6" s="2">
        <f>AVERAGE($J$3:J6)</f>
        <v>24.221125299859029</v>
      </c>
      <c r="L6" s="2">
        <f>SUM($F$3:F6)/I6</f>
        <v>-0.4165379424516818</v>
      </c>
    </row>
    <row r="7" spans="1:12" x14ac:dyDescent="0.25">
      <c r="A7" s="2">
        <v>5</v>
      </c>
      <c r="B7" s="2">
        <v>13000</v>
      </c>
      <c r="C7" s="2">
        <f>0.1*B7+(1-0.1)*(C6+D6)</f>
        <v>17421.408803350452</v>
      </c>
      <c r="D7" s="2">
        <f>0.2*(C7-C6)+(1-0.2)*D6</f>
        <v>468.46987156108355</v>
      </c>
      <c r="E7" s="2">
        <f>C6+D6</f>
        <v>17912.676448167171</v>
      </c>
      <c r="F7" s="2">
        <f>E7-B7</f>
        <v>4912.6764481671707</v>
      </c>
      <c r="G7" s="2">
        <f>ABS(F7)</f>
        <v>4912.6764481671707</v>
      </c>
      <c r="H7" s="2">
        <f>SUMSQ($F$3:F7)/5</f>
        <v>18417423.869608898</v>
      </c>
      <c r="I7" s="2">
        <f>SUM($G$3:G7)/5</f>
        <v>4144.9844753374155</v>
      </c>
      <c r="J7" s="2">
        <f>100*(G7/B7)</f>
        <v>37.789818832055161</v>
      </c>
      <c r="K7" s="2">
        <f>AVERAGE($J$3:J7)</f>
        <v>26.934864006298255</v>
      </c>
      <c r="L7" s="2">
        <f>SUM($F$3:F7)/I7</f>
        <v>0.78795864530949411</v>
      </c>
    </row>
    <row r="8" spans="1:12" x14ac:dyDescent="0.25">
      <c r="A8" s="2">
        <v>6</v>
      </c>
      <c r="B8" s="2">
        <v>20167</v>
      </c>
      <c r="C8" s="2">
        <f>0.1*B8+(1-0.1)*(C7+D7)</f>
        <v>18117.590807420383</v>
      </c>
      <c r="D8" s="2">
        <f>0.2*(C8-C7)+(1-0.2)*D7</f>
        <v>514.01229806285312</v>
      </c>
      <c r="E8" s="2">
        <f>C7+D7</f>
        <v>17889.878674911535</v>
      </c>
      <c r="F8" s="2">
        <f>E8-B8</f>
        <v>-2277.1213250884648</v>
      </c>
      <c r="G8" s="2">
        <f>ABS(F8)</f>
        <v>2277.1213250884648</v>
      </c>
      <c r="H8" s="2">
        <f>SUMSQ($F$3:F8)/6</f>
        <v>16212066.812869521</v>
      </c>
      <c r="I8" s="2">
        <f>SUM($G$3:G8)/6</f>
        <v>3833.673950295924</v>
      </c>
      <c r="J8" s="2">
        <f>100*(G8/B8)</f>
        <v>11.291324069462313</v>
      </c>
      <c r="K8" s="2">
        <f>AVERAGE($J$3:J8)</f>
        <v>24.327607350158932</v>
      </c>
      <c r="L8" s="2">
        <f>SUM($F$3:F8)/I8</f>
        <v>0.25796534597078902</v>
      </c>
    </row>
    <row r="9" spans="1:12" x14ac:dyDescent="0.25">
      <c r="A9" s="2">
        <v>7</v>
      </c>
      <c r="B9" s="2">
        <v>24500</v>
      </c>
      <c r="C9" s="2">
        <f>0.1*B9+(1-0.1)*(C8+D8)</f>
        <v>19218.442794934916</v>
      </c>
      <c r="D9" s="2">
        <f>0.2*(C9-C8)+(1-0.2)*D8</f>
        <v>631.38023595318896</v>
      </c>
      <c r="E9" s="2">
        <f>C8+D8</f>
        <v>18631.603105483238</v>
      </c>
      <c r="F9" s="2">
        <f>E9-B9</f>
        <v>-5868.3968945167617</v>
      </c>
      <c r="G9" s="2">
        <f>ABS(F9)</f>
        <v>5868.3968945167617</v>
      </c>
      <c r="H9" s="2">
        <f>SUMSQ($F$3:F9)/7</f>
        <v>18815783.284113016</v>
      </c>
      <c r="I9" s="2">
        <f>SUM($G$3:G9)/7</f>
        <v>4124.348656613186</v>
      </c>
      <c r="J9" s="2">
        <f>100*(G9/B9)</f>
        <v>23.952640385782701</v>
      </c>
      <c r="K9" s="2">
        <f>AVERAGE($J$3:J9)</f>
        <v>24.27404064096233</v>
      </c>
      <c r="L9" s="2">
        <f>SUM($F$3:F9)/I9</f>
        <v>-1.1830818085094557</v>
      </c>
    </row>
    <row r="10" spans="1:12" x14ac:dyDescent="0.25">
      <c r="A10" s="2">
        <v>8</v>
      </c>
      <c r="B10" s="2">
        <v>17167</v>
      </c>
      <c r="C10" s="2">
        <f>0.1*B10+(1-0.1)*(C9+D9)</f>
        <v>19581.540727799293</v>
      </c>
      <c r="D10" s="2">
        <f>0.2*(C10-C9)+(1-0.2)*D9</f>
        <v>577.72377533542658</v>
      </c>
      <c r="E10" s="2">
        <f>C9+D9</f>
        <v>19849.823030888103</v>
      </c>
      <c r="F10" s="2">
        <f>E10-B10</f>
        <v>2682.8230308881029</v>
      </c>
      <c r="G10" s="2">
        <f>ABS(F10)</f>
        <v>2682.8230308881029</v>
      </c>
      <c r="H10" s="2">
        <f>SUMSQ($F$3:F10)/8</f>
        <v>17363502.800481841</v>
      </c>
      <c r="I10" s="2">
        <f>SUM($G$3:G10)/8</f>
        <v>3944.157953397551</v>
      </c>
      <c r="J10" s="2">
        <f>100*(G10/B10)</f>
        <v>15.627791873292379</v>
      </c>
      <c r="K10" s="2">
        <f>AVERAGE($J$3:J10)</f>
        <v>23.193259545003585</v>
      </c>
      <c r="L10" s="2">
        <f>SUM($F$3:F10)/I10</f>
        <v>-0.55692973320431349</v>
      </c>
    </row>
    <row r="11" spans="1:12" x14ac:dyDescent="0.25">
      <c r="A11" s="2">
        <v>9</v>
      </c>
      <c r="B11" s="2">
        <v>14000</v>
      </c>
      <c r="C11" s="2">
        <f>0.1*B11+(1-0.1)*(C10+D10)</f>
        <v>19543.338052821247</v>
      </c>
      <c r="D11" s="2">
        <f>0.2*(C11-C10)+(1-0.2)*D10</f>
        <v>454.5384852727322</v>
      </c>
      <c r="E11" s="2">
        <f>C10+D10</f>
        <v>20159.26450313472</v>
      </c>
      <c r="F11" s="2">
        <f>E11-B11</f>
        <v>6159.2645031347201</v>
      </c>
      <c r="G11" s="2">
        <f>ABS(F11)</f>
        <v>6159.2645031347201</v>
      </c>
      <c r="H11" s="2">
        <f>SUMSQ($F$3:F11)/9</f>
        <v>19649395.735936683</v>
      </c>
      <c r="I11" s="2">
        <f>SUM($G$3:G11)/9</f>
        <v>4190.2809033683479</v>
      </c>
      <c r="J11" s="2">
        <f>100*(G11/B11)</f>
        <v>43.994746450962282</v>
      </c>
      <c r="K11" s="2">
        <f>AVERAGE($J$3:J11)</f>
        <v>25.504535867887885</v>
      </c>
      <c r="L11" s="2">
        <f>SUM($F$3:F11)/I11</f>
        <v>0.94567542315551856</v>
      </c>
    </row>
    <row r="12" spans="1:12" x14ac:dyDescent="0.25">
      <c r="A12" s="2">
        <v>10</v>
      </c>
      <c r="B12" s="2">
        <v>21833</v>
      </c>
      <c r="C12" s="2">
        <f>0.1*B12+(1-0.1)*(C11+D11)</f>
        <v>20181.388884284581</v>
      </c>
      <c r="D12" s="2">
        <f>0.2*(C12-C11)+(1-0.2)*D11</f>
        <v>491.24095451085248</v>
      </c>
      <c r="E12" s="2">
        <f>C11+D11</f>
        <v>19997.87653809398</v>
      </c>
      <c r="F12" s="2">
        <f>E12-B12</f>
        <v>-1835.1234619060197</v>
      </c>
      <c r="G12" s="2">
        <f>ABS(F12)</f>
        <v>1835.1234619060197</v>
      </c>
      <c r="H12" s="2">
        <f>SUMSQ($F$3:F12)/10</f>
        <v>18021223.974386804</v>
      </c>
      <c r="I12" s="2">
        <f>SUM($G$3:G12)/10</f>
        <v>3954.7651592221146</v>
      </c>
      <c r="J12" s="2">
        <f>100*(G12/B12)</f>
        <v>8.405273951843629</v>
      </c>
      <c r="K12" s="2">
        <f>AVERAGE($J$3:J12)</f>
        <v>23.794609676283461</v>
      </c>
      <c r="L12" s="2">
        <f>SUM($F$3:F12)/I12</f>
        <v>0.53796423273482208</v>
      </c>
    </row>
    <row r="13" spans="1:12" x14ac:dyDescent="0.25">
      <c r="A13" s="2">
        <v>11</v>
      </c>
      <c r="B13" s="2">
        <v>26167</v>
      </c>
      <c r="C13" s="2">
        <f>0.1*B13+(1-0.1)*(C12+D12)</f>
        <v>21222.066854915891</v>
      </c>
      <c r="D13" s="2">
        <f>0.2*(C13-C12)+(1-0.2)*D12</f>
        <v>601.12835773494407</v>
      </c>
      <c r="E13" s="2">
        <f>C12+D12</f>
        <v>20672.629838795434</v>
      </c>
      <c r="F13" s="2">
        <f>E13-B13</f>
        <v>-5494.3701612045661</v>
      </c>
      <c r="G13" s="2">
        <f>ABS(F13)</f>
        <v>5494.3701612045661</v>
      </c>
      <c r="H13" s="2">
        <f>SUMSQ($F$3:F13)/11</f>
        <v>19127303.928382102</v>
      </c>
      <c r="I13" s="2">
        <f>SUM($G$3:G13)/11</f>
        <v>4094.7292503114281</v>
      </c>
      <c r="J13" s="2">
        <f>100*(G13/B13)</f>
        <v>20.997325490902917</v>
      </c>
      <c r="K13" s="2">
        <f>AVERAGE($J$3:J13)</f>
        <v>23.540311113976141</v>
      </c>
      <c r="L13" s="2">
        <f>SUM($F$3:F13)/I13</f>
        <v>-0.82223945732704218</v>
      </c>
    </row>
    <row r="14" spans="1:12" x14ac:dyDescent="0.25">
      <c r="A14" s="2">
        <v>12</v>
      </c>
      <c r="B14" s="2">
        <v>18333</v>
      </c>
      <c r="C14" s="2">
        <f>0.1*B14+(1-0.1)*(C13+D13)</f>
        <v>21474.17569138575</v>
      </c>
      <c r="D14" s="2">
        <f>0.2*(C14-C13)+(1-0.2)*D13</f>
        <v>531.32445348192709</v>
      </c>
      <c r="E14" s="2">
        <f>C13+D13</f>
        <v>21823.195212650833</v>
      </c>
      <c r="F14" s="2">
        <f>E14-B14</f>
        <v>3490.1952126508331</v>
      </c>
      <c r="G14" s="2">
        <f>ABS(F14)</f>
        <v>3490.1952126508331</v>
      </c>
      <c r="H14" s="2">
        <f>SUMSQ($F$3:F14)/12</f>
        <v>18548483.819551162</v>
      </c>
      <c r="I14" s="2">
        <f>SUM($G$3:G14)/12</f>
        <v>4044.3514138397118</v>
      </c>
      <c r="J14" s="2">
        <f>100*(G14/B14)</f>
        <v>19.037774573996799</v>
      </c>
      <c r="K14" s="2">
        <f>AVERAGE($J$3:J14)</f>
        <v>23.165099735644528</v>
      </c>
      <c r="L14" s="2">
        <f>SUM($F$3:F14)/I14</f>
        <v>3.0498649437708546E-2</v>
      </c>
    </row>
    <row r="15" spans="1:12" x14ac:dyDescent="0.25">
      <c r="A15" s="1">
        <v>13</v>
      </c>
      <c r="E15" s="1">
        <f>C14+(1*D14)</f>
        <v>22005.500144867678</v>
      </c>
    </row>
    <row r="16" spans="1:12" x14ac:dyDescent="0.25">
      <c r="A16" s="1">
        <v>14</v>
      </c>
      <c r="E16" s="1">
        <f>C14+(2*D14)</f>
        <v>22536.824598349605</v>
      </c>
    </row>
    <row r="17" spans="1:5" x14ac:dyDescent="0.25">
      <c r="A17" s="1">
        <v>15</v>
      </c>
      <c r="E17" s="1">
        <f>C14+(3*D14)</f>
        <v>23068.14905183153</v>
      </c>
    </row>
    <row r="18" spans="1:5" x14ac:dyDescent="0.25">
      <c r="A18" s="1">
        <v>16</v>
      </c>
      <c r="E18" s="1">
        <f>C14+(4*D14)</f>
        <v>23599.473505313457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workbookViewId="0">
      <selection activeCell="L14" sqref="L14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15574.8415029762</v>
      </c>
      <c r="D2" s="2">
        <v>446.42904761904799</v>
      </c>
    </row>
    <row r="3" spans="1:13" x14ac:dyDescent="0.25">
      <c r="A3" s="2">
        <v>1</v>
      </c>
      <c r="B3" s="2">
        <v>11750</v>
      </c>
      <c r="C3" s="2">
        <f>0.05*(B3/E3)+(1-0.05)*(C2+D2)</f>
        <v>16029.434827365441</v>
      </c>
      <c r="D3" s="2">
        <f>0.05*(C3-C2)+(1-0.05)*D2</f>
        <v>446.83726145755764</v>
      </c>
      <c r="E3" s="2">
        <v>0.7260007588447005</v>
      </c>
      <c r="F3" s="2">
        <f>(C2+D2)*E3</f>
        <v>11631.454577388402</v>
      </c>
      <c r="G3" s="2">
        <f>F3-B3</f>
        <v>-118.54542261159804</v>
      </c>
      <c r="H3" s="2">
        <f>ABS(G3)</f>
        <v>118.54542261159804</v>
      </c>
      <c r="I3" s="2">
        <f>SUMSQ($G$3:G3)/1</f>
        <v>14053.01722216238</v>
      </c>
      <c r="J3" s="2">
        <f>SUM($H$3:H3)/1</f>
        <v>118.54542261159804</v>
      </c>
      <c r="K3" s="2">
        <f>100*(H3/B3)</f>
        <v>1.0088972137157279</v>
      </c>
      <c r="L3" s="2">
        <f>AVERAGE($K$3:K3)</f>
        <v>1.0088972137157279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>0.05*(B4/E4)+(1-0.05)*(C3+D3)</f>
        <v>16488.865205776914</v>
      </c>
      <c r="D4" s="2">
        <f>0.05*(C4-C3)+(1-0.05)*D3</f>
        <v>447.46691730525339</v>
      </c>
      <c r="E4" s="2">
        <v>1.1059212896533956</v>
      </c>
      <c r="F4" s="2">
        <f>(C3+D3)*E4</f>
        <v>18221.46007715138</v>
      </c>
      <c r="G4" s="2">
        <f>F4-B4</f>
        <v>-278.53992284862034</v>
      </c>
      <c r="H4" s="2">
        <f>ABS(G4)</f>
        <v>278.53992284862034</v>
      </c>
      <c r="I4" s="2">
        <f>SUMSQ($G$3:G4)/2</f>
        <v>45818.752921338877</v>
      </c>
      <c r="J4" s="2">
        <f>SUM($H$3:H4)/2</f>
        <v>198.54267273010919</v>
      </c>
      <c r="K4" s="2">
        <f>100*(H4/B4)</f>
        <v>1.5056212045871371</v>
      </c>
      <c r="L4" s="2">
        <f>AVERAGE($K$3:K4)</f>
        <v>1.2572592091514325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>0.05*(B5/E5)+(1-0.05)*(C4+D4)</f>
        <v>16946.75220553036</v>
      </c>
      <c r="D5" s="2">
        <f>0.05*(C5-C4)+(1-0.05)*D4</f>
        <v>447.98792142766297</v>
      </c>
      <c r="E5" s="2">
        <v>1.3026349838347364</v>
      </c>
      <c r="F5" s="2">
        <f>(C4+D4)*E5</f>
        <v>22061.858721370867</v>
      </c>
      <c r="G5" s="2">
        <f>F5-B5</f>
        <v>-271.47127862913476</v>
      </c>
      <c r="H5" s="2">
        <f>ABS(G5)</f>
        <v>271.47127862913476</v>
      </c>
      <c r="I5" s="2">
        <f>SUMSQ($G$3:G5)/3</f>
        <v>55111.386987738362</v>
      </c>
      <c r="J5" s="2">
        <f>SUM($H$3:H5)/3</f>
        <v>222.85220802978438</v>
      </c>
      <c r="K5" s="2">
        <f>100*(H5/B5)</f>
        <v>1.215543220062278</v>
      </c>
      <c r="L5" s="2">
        <f>AVERAGE($K$3:K5)</f>
        <v>1.2433538794550476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>0.05*(B6/E6)+(1-0.05)*(C5+D5)</f>
        <v>17355.811671801966</v>
      </c>
      <c r="D6" s="2">
        <f>0.05*(C6-C5)+(1-0.05)*D5</f>
        <v>446.04149866986012</v>
      </c>
      <c r="E6" s="2">
        <v>0.86762888870837784</v>
      </c>
      <c r="F6" s="2">
        <f>(C5+D5)*E6</f>
        <v>15092.179045723617</v>
      </c>
      <c r="G6" s="2">
        <f>F6-B6</f>
        <v>675.50904572361651</v>
      </c>
      <c r="H6" s="2">
        <f>ABS(G6)</f>
        <v>675.50904572361651</v>
      </c>
      <c r="I6" s="2">
        <f>SUMSQ($G$3:G6)/4</f>
        <v>155411.65795441152</v>
      </c>
      <c r="J6" s="2">
        <f>SUM($H$3:H6)/4</f>
        <v>336.01641745324241</v>
      </c>
      <c r="K6" s="2">
        <f>100*(H6/B6)</f>
        <v>4.6856107944734573</v>
      </c>
      <c r="L6" s="2">
        <f>AVERAGE($K$3:K6)</f>
        <v>2.1039181082096503</v>
      </c>
      <c r="M6" s="2">
        <f>SUM($G$3:G6)/J6</f>
        <v>2.0690720075398763E-2</v>
      </c>
    </row>
    <row r="7" spans="1:13" x14ac:dyDescent="0.25">
      <c r="A7" s="2">
        <v>5</v>
      </c>
      <c r="B7" s="2">
        <v>13000</v>
      </c>
      <c r="C7" s="2">
        <f>0.05*(B7/E7)+(1-0.05)*(C6+D6)</f>
        <v>17806.643379128378</v>
      </c>
      <c r="D7" s="2">
        <f>0.05*(C7-C6)+(1-0.05)*D6</f>
        <v>446.28100910268768</v>
      </c>
      <c r="E7" s="2">
        <f>0.05*(B3/C3)+(1-0.05)*E3</f>
        <v>0.72635204431637779</v>
      </c>
      <c r="F7" s="2">
        <f>(C6+D6)*E7</f>
        <v>12930.412442992203</v>
      </c>
      <c r="G7" s="2">
        <f>F7-B7</f>
        <v>-69.587557007796931</v>
      </c>
      <c r="H7" s="2">
        <f>ABS(G7)</f>
        <v>69.587557007796931</v>
      </c>
      <c r="I7" s="2">
        <f>SUMSQ($G$3:G7)/5</f>
        <v>125297.81198159189</v>
      </c>
      <c r="J7" s="2">
        <f>SUM($H$3:H7)/5</f>
        <v>282.7306453641533</v>
      </c>
      <c r="K7" s="2">
        <f>100*(H7/B7)</f>
        <v>0.53528890005997642</v>
      </c>
      <c r="L7" s="2">
        <f>AVERAGE($K$3:K7)</f>
        <v>1.7901922665797154</v>
      </c>
      <c r="M7" s="2">
        <f>SUM($G$3:G7)/J7</f>
        <v>-0.22153642132730372</v>
      </c>
    </row>
    <row r="8" spans="1:13" x14ac:dyDescent="0.25">
      <c r="A8" s="2">
        <v>6</v>
      </c>
      <c r="B8" s="2">
        <v>20167</v>
      </c>
      <c r="C8" s="2">
        <f>0.05*(B8/E8)+(1-0.05)*(C7+D7)</f>
        <v>18251.390861610525</v>
      </c>
      <c r="D8" s="2">
        <f>0.05*(C8-C7)+(1-0.05)*D7</f>
        <v>446.20433277166063</v>
      </c>
      <c r="E8" s="2">
        <f>0.05*(B4/C4)+(1-0.05)*E4</f>
        <v>1.1067236884946861</v>
      </c>
      <c r="F8" s="2">
        <f>(C7+D7)*E8</f>
        <v>20200.943804757695</v>
      </c>
      <c r="G8" s="2">
        <f>F8-B8</f>
        <v>33.943804757695034</v>
      </c>
      <c r="H8" s="2">
        <f>ABS(G8)</f>
        <v>33.943804757695034</v>
      </c>
      <c r="I8" s="2">
        <f>SUMSQ($G$3:G8)/6</f>
        <v>104606.87363156465</v>
      </c>
      <c r="J8" s="2">
        <f>SUM($H$3:H8)/6</f>
        <v>241.26617192974359</v>
      </c>
      <c r="K8" s="2">
        <f>100*(H8/B8)</f>
        <v>0.16831360518517893</v>
      </c>
      <c r="L8" s="2">
        <f>AVERAGE($K$3:K8)</f>
        <v>1.5198791563472929</v>
      </c>
      <c r="M8" s="2">
        <f>SUM($G$3:G8)/J8</f>
        <v>-0.11891982363857211</v>
      </c>
    </row>
    <row r="9" spans="1:13" x14ac:dyDescent="0.25">
      <c r="A9" s="2">
        <v>7</v>
      </c>
      <c r="B9" s="2">
        <v>24500</v>
      </c>
      <c r="C9" s="2">
        <f>0.05*(B9/E9)+(1-0.05)*(C8+D8)</f>
        <v>18702.56802245865</v>
      </c>
      <c r="D9" s="2">
        <f>0.05*(C9-C8)+(1-0.05)*D8</f>
        <v>446.45297417548386</v>
      </c>
      <c r="E9" s="2">
        <f>0.05*(B5/C5)+(1-0.05)*E5</f>
        <v>1.3033958898525086</v>
      </c>
      <c r="F9" s="2">
        <f>(C8+D8)*E9</f>
        <v>24370.368726483757</v>
      </c>
      <c r="G9" s="2">
        <f>F9-B9</f>
        <v>-129.6312735162428</v>
      </c>
      <c r="H9" s="2">
        <f>ABS(G9)</f>
        <v>129.6312735162428</v>
      </c>
      <c r="I9" s="2">
        <f>SUMSQ($G$3:G9)/7</f>
        <v>92063.644123261547</v>
      </c>
      <c r="J9" s="2">
        <f>SUM($H$3:H9)/7</f>
        <v>225.31832929924349</v>
      </c>
      <c r="K9" s="2">
        <f>100*(H9/B9)</f>
        <v>0.52910723884180733</v>
      </c>
      <c r="L9" s="2">
        <f>AVERAGE($K$3:K9)</f>
        <v>1.3783403109893662</v>
      </c>
      <c r="M9" s="2">
        <f>SUM($G$3:G9)/J9</f>
        <v>-0.70266189450488215</v>
      </c>
    </row>
    <row r="10" spans="1:13" x14ac:dyDescent="0.25">
      <c r="A10" s="2">
        <v>8</v>
      </c>
      <c r="B10" s="2">
        <v>17167</v>
      </c>
      <c r="C10" s="2">
        <f>0.05*(B10/E10)+(1-0.05)*(C9+D9)</f>
        <v>19182.987939247658</v>
      </c>
      <c r="D10" s="2">
        <f>0.05*(C10-C9)+(1-0.05)*D9</f>
        <v>448.15132130616001</v>
      </c>
      <c r="E10" s="2">
        <f>0.05*(B6/C6)+(1-0.05)*E6</f>
        <v>0.86578013163042433</v>
      </c>
      <c r="F10" s="2">
        <f>(C9+D9)*E10</f>
        <v>16578.841919059661</v>
      </c>
      <c r="G10" s="2">
        <f>F10-B10</f>
        <v>-588.15808094033855</v>
      </c>
      <c r="H10" s="2">
        <f>ABS(G10)</f>
        <v>588.15808094033855</v>
      </c>
      <c r="I10" s="2">
        <f>SUMSQ($G$3:G10)/8</f>
        <v>123796.92962978157</v>
      </c>
      <c r="J10" s="2">
        <f>SUM($H$3:H10)/8</f>
        <v>270.67329825438037</v>
      </c>
      <c r="K10" s="2">
        <f>100*(H10/B10)</f>
        <v>3.4260970521368819</v>
      </c>
      <c r="L10" s="2">
        <f>AVERAGE($K$3:K10)</f>
        <v>1.6343099036328057</v>
      </c>
      <c r="M10" s="2">
        <f>SUM($G$3:G10)/J10</f>
        <v>-2.7578659952296918</v>
      </c>
    </row>
    <row r="11" spans="1:13" x14ac:dyDescent="0.25">
      <c r="A11" s="2">
        <v>9</v>
      </c>
      <c r="B11" s="2">
        <v>14000</v>
      </c>
      <c r="C11" s="2">
        <f>0.05*(B11/E11)+(1-0.05)*(C10+D10)</f>
        <v>19613.056081220009</v>
      </c>
      <c r="D11" s="2">
        <f>0.05*(C11-C10)+(1-0.05)*D10</f>
        <v>447.24716233946958</v>
      </c>
      <c r="E11" s="2">
        <f>0.05*(B7/C7)+(1-0.05)*E7</f>
        <v>0.72653767216815723</v>
      </c>
      <c r="F11" s="2">
        <f>(C10+D10)*E11</f>
        <v>14262.762220371689</v>
      </c>
      <c r="G11" s="2">
        <f>F11-B11</f>
        <v>262.76222037168918</v>
      </c>
      <c r="H11" s="2">
        <f>ABS(G11)</f>
        <v>262.76222037168918</v>
      </c>
      <c r="I11" s="2">
        <f>SUMSQ($G$3:G11)/9</f>
        <v>117713.26905476808</v>
      </c>
      <c r="J11" s="2">
        <f>SUM($H$3:H11)/9</f>
        <v>269.79428960074802</v>
      </c>
      <c r="K11" s="2">
        <f>100*(H11/B11)</f>
        <v>1.876873002654923</v>
      </c>
      <c r="L11" s="2">
        <f>AVERAGE($K$3:K11)</f>
        <v>1.6612613590797076</v>
      </c>
      <c r="M11" s="2">
        <f>SUM($G$3:G11)/J11</f>
        <v>-1.7929158745967377</v>
      </c>
    </row>
    <row r="12" spans="1:13" x14ac:dyDescent="0.25">
      <c r="A12" s="2">
        <v>10</v>
      </c>
      <c r="B12" s="2">
        <v>21833</v>
      </c>
      <c r="C12" s="2">
        <f>0.05*(B12/E12)+(1-0.05)*(C11+D11)</f>
        <v>20043.746720751162</v>
      </c>
      <c r="D12" s="2">
        <f>0.05*(C12-C11)+(1-0.05)*D11</f>
        <v>446.4193361990537</v>
      </c>
      <c r="E12" s="2">
        <f>0.05*(B8/C8)+(1-0.05)*E8</f>
        <v>1.1066353483381348</v>
      </c>
      <c r="F12" s="2">
        <f>(C11+D11)*E12</f>
        <v>22199.440667705061</v>
      </c>
      <c r="G12" s="2">
        <f>F12-B12</f>
        <v>366.44066770506106</v>
      </c>
      <c r="H12" s="2">
        <f>ABS(G12)</f>
        <v>366.44066770506106</v>
      </c>
      <c r="I12" s="2">
        <f>SUMSQ($G$3:G12)/10</f>
        <v>119369.81844410437</v>
      </c>
      <c r="J12" s="2">
        <f>SUM($H$3:H12)/10</f>
        <v>279.45892741117933</v>
      </c>
      <c r="K12" s="2">
        <f>100*(H12/B12)</f>
        <v>1.6783798273487887</v>
      </c>
      <c r="L12" s="2">
        <f>AVERAGE($K$3:K12)</f>
        <v>1.6629732059066158</v>
      </c>
      <c r="M12" s="2">
        <f>SUM($G$3:G12)/J12</f>
        <v>-0.41966022729026659</v>
      </c>
    </row>
    <row r="13" spans="1:13" x14ac:dyDescent="0.25">
      <c r="A13" s="2">
        <v>11</v>
      </c>
      <c r="B13" s="2">
        <v>26167</v>
      </c>
      <c r="C13" s="2">
        <f>0.05*(B13/E13)+(1-0.05)*(C12+D12)</f>
        <v>20469.20518751732</v>
      </c>
      <c r="D13" s="2">
        <f>0.05*(C13-C12)+(1-0.05)*D12</f>
        <v>445.3712927274089</v>
      </c>
      <c r="E13" s="2">
        <f>0.05*(B9/C9)+(1-0.05)*E9</f>
        <v>1.3037251219389594</v>
      </c>
      <c r="F13" s="2">
        <f>(C12+D12)*E13</f>
        <v>26713.544241146948</v>
      </c>
      <c r="G13" s="2">
        <f>F13-B13</f>
        <v>546.54424114694848</v>
      </c>
      <c r="H13" s="2">
        <f>ABS(G13)</f>
        <v>546.54424114694848</v>
      </c>
      <c r="I13" s="2">
        <f>SUMSQ($G$3:G13)/11</f>
        <v>135673.52654290342</v>
      </c>
      <c r="J13" s="2">
        <f>SUM($H$3:H13)/11</f>
        <v>303.73941047806744</v>
      </c>
      <c r="K13" s="2">
        <f>100*(H13/B13)</f>
        <v>2.088677498937396</v>
      </c>
      <c r="L13" s="2">
        <f>AVERAGE($K$3:K13)</f>
        <v>1.7016735961821412</v>
      </c>
      <c r="M13" s="2">
        <f>SUM($G$3:G13)/J13</f>
        <v>1.4132721317778272</v>
      </c>
    </row>
    <row r="14" spans="1:13" x14ac:dyDescent="0.25">
      <c r="A14" s="2">
        <v>12</v>
      </c>
      <c r="B14" s="2">
        <v>18333</v>
      </c>
      <c r="C14" s="2">
        <f>0.05*(B14/E14)+(1-0.05)*(C13+D13)</f>
        <v>20925.825769284846</v>
      </c>
      <c r="D14" s="2">
        <f>0.05*(C14-C13)+(1-0.05)*D13</f>
        <v>445.93375717941473</v>
      </c>
      <c r="E14" s="2">
        <f>0.05*(B10/C10)+(1-0.05)*E10</f>
        <v>0.8672365006243028</v>
      </c>
      <c r="F14" s="2">
        <f>(C13+D13)*E14</f>
        <v>18137.884118766786</v>
      </c>
      <c r="G14" s="2">
        <f>F14-B14</f>
        <v>-195.11588123321417</v>
      </c>
      <c r="H14" s="2">
        <f>ABS(G14)</f>
        <v>195.11588123321417</v>
      </c>
      <c r="I14" s="2">
        <f>SUMSQ($G$3:G14)/12</f>
        <v>127539.91659011261</v>
      </c>
      <c r="J14" s="2">
        <f>SUM($H$3:H14)/12</f>
        <v>294.68744970766301</v>
      </c>
      <c r="K14" s="2">
        <f>100*(H14/B14)</f>
        <v>1.0642877937774187</v>
      </c>
      <c r="L14" s="2">
        <f>AVERAGE($K$3:K14)</f>
        <v>1.6485581126484143</v>
      </c>
      <c r="M14" s="2">
        <f>SUM($G$3:G14)/J14</f>
        <v>0.79457256544297228</v>
      </c>
    </row>
    <row r="15" spans="1:13" x14ac:dyDescent="0.25">
      <c r="A15" s="1">
        <v>13</v>
      </c>
      <c r="B15" s="1">
        <f>(C14+(1*D14))*E15</f>
        <v>15513.788020883483</v>
      </c>
      <c r="C15" s="3">
        <f>0.05*(B15/E15)+(1-0.05)*(C14+D14)</f>
        <v>21371.759526464255</v>
      </c>
      <c r="D15" s="2">
        <f>0.05*(C15-C14)+(1-0.05)*D14</f>
        <v>445.93375717941444</v>
      </c>
      <c r="E15" s="2">
        <f>0.05*(B11/C11)+(1-0.05)*E11</f>
        <v>0.72590129987533514</v>
      </c>
      <c r="F15" s="1">
        <f>(C14+(1*D14))*E15</f>
        <v>15513.788020883483</v>
      </c>
    </row>
    <row r="16" spans="1:13" x14ac:dyDescent="0.25">
      <c r="A16" s="1">
        <v>14</v>
      </c>
      <c r="B16" s="1">
        <f>(C14+(2*D14))*E16</f>
        <v>24125.284185095978</v>
      </c>
      <c r="C16" s="3">
        <f>0.05*(B16/E16)+(1-0.05)*(C15+D15)</f>
        <v>21817.693283643668</v>
      </c>
      <c r="D16" s="2">
        <f>0.05*(C16-C15)+(1-0.05)*D15</f>
        <v>445.93375717941433</v>
      </c>
      <c r="E16" s="2">
        <f>0.05*(B12/C12)+(1-0.05)*E12</f>
        <v>1.1057669512286279</v>
      </c>
      <c r="F16" s="1">
        <f>(C14+(2*D14))*E16</f>
        <v>24125.284185095978</v>
      </c>
    </row>
    <row r="17" spans="1:6" x14ac:dyDescent="0.25">
      <c r="A17" s="1">
        <v>15</v>
      </c>
      <c r="B17" s="1">
        <f>(C14+(3*D14))*E17</f>
        <v>28997.413183079203</v>
      </c>
      <c r="C17" s="3">
        <f>0.05*(B17/E17)+(1-0.05)*(C16+D16)</f>
        <v>22263.627040823081</v>
      </c>
      <c r="D17" s="2">
        <f>0.05*(C17-C16)+(1-0.05)*D16</f>
        <v>445.93375717941421</v>
      </c>
      <c r="E17" s="2">
        <f>0.05*(B13/C13)+(1-0.05)*E13</f>
        <v>1.30245683373643</v>
      </c>
      <c r="F17" s="1">
        <f>(C14+(3*D14))*E17</f>
        <v>28997.413183079203</v>
      </c>
    </row>
    <row r="18" spans="1:6" x14ac:dyDescent="0.25">
      <c r="A18" s="1">
        <v>16</v>
      </c>
      <c r="B18" s="1">
        <f>(C14+(4*D14))*E18</f>
        <v>19704.618054037426</v>
      </c>
      <c r="C18" s="3">
        <f>0.05*(B18/E18)+(1-0.05)*(C17+D17)</f>
        <v>22709.560798002494</v>
      </c>
      <c r="D18" s="2">
        <f>0.05*(C18-C17)+(1-0.05)*D17</f>
        <v>445.9337571794141</v>
      </c>
      <c r="E18" s="2">
        <f>0.05*(B14/C14)+(1-0.05)*E14</f>
        <v>0.86767939852762854</v>
      </c>
      <c r="F18" s="1">
        <f>(C14+(4*D14))*E18</f>
        <v>19704.618054037426</v>
      </c>
    </row>
    <row r="19" spans="1:6" x14ac:dyDescent="0.25">
      <c r="C19" s="3"/>
      <c r="E19" s="2">
        <f>0.05*(B15/C15)+(1-0.05)*E15</f>
        <v>0.72590129987533514</v>
      </c>
    </row>
    <row r="20" spans="1:6" x14ac:dyDescent="0.25">
      <c r="C20" s="3"/>
      <c r="E20" s="2">
        <f>0.05*(B16/C16)+(1-0.05)*E16</f>
        <v>1.1057669512286279</v>
      </c>
    </row>
    <row r="21" spans="1:6" x14ac:dyDescent="0.25">
      <c r="C21" s="3"/>
      <c r="E21" s="2">
        <f>0.05*(B17/C17)+(1-0.05)*E17</f>
        <v>1.30245683373643</v>
      </c>
    </row>
    <row r="22" spans="1:6" x14ac:dyDescent="0.25">
      <c r="C22" s="3"/>
      <c r="E22" s="2">
        <f>0.05*(B18/C18)+(1-0.05)*E18</f>
        <v>0.86767939852762854</v>
      </c>
    </row>
    <row r="23" spans="1:6" x14ac:dyDescent="0.25">
      <c r="C23" s="3"/>
    </row>
    <row r="24" spans="1:6" x14ac:dyDescent="0.25">
      <c r="C24" s="3"/>
    </row>
    <row r="25" spans="1:6" x14ac:dyDescent="0.25">
      <c r="C25" s="3"/>
    </row>
    <row r="26" spans="1:6" x14ac:dyDescent="0.25">
      <c r="C26" s="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3640.2150371186058</v>
      </c>
    </row>
    <row r="6" spans="1:2" x14ac:dyDescent="0.25">
      <c r="A6" s="2" t="s">
        <v>33</v>
      </c>
      <c r="B6" s="2">
        <f>B5/2</f>
        <v>1820.1075185593029</v>
      </c>
    </row>
    <row r="7" spans="1:2" x14ac:dyDescent="0.25">
      <c r="A7" s="2" t="s">
        <v>34</v>
      </c>
      <c r="B7" s="2">
        <f>B1/B5</f>
        <v>24.268100247457376</v>
      </c>
    </row>
    <row r="8" spans="1:2" x14ac:dyDescent="0.25">
      <c r="A8" s="2" t="s">
        <v>30</v>
      </c>
      <c r="B8" s="2">
        <f>(B5/2)*B4*B2</f>
        <v>182010.75185593028</v>
      </c>
    </row>
    <row r="9" spans="1:2" x14ac:dyDescent="0.25">
      <c r="A9" s="2" t="s">
        <v>31</v>
      </c>
      <c r="B9" s="2">
        <f>365/B7</f>
        <v>15.040320267271101</v>
      </c>
    </row>
    <row r="10" spans="1:2" x14ac:dyDescent="0.25">
      <c r="A10" s="2" t="s">
        <v>32</v>
      </c>
      <c r="B10" s="2">
        <f>(B5/(2*B1))*365</f>
        <v>7.5201601336355512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1" sqref="B1"/>
    </sheetView>
  </sheetViews>
  <sheetFormatPr defaultRowHeight="15" x14ac:dyDescent="0.25"/>
  <cols>
    <col min="1" max="1" width="15" style="2" customWidth="1"/>
    <col min="2" max="2" width="12.285156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35</v>
      </c>
      <c r="B2" s="2">
        <f>STDEV(winter_smoothing!F15:F18)</f>
        <v>5796.299404169049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512051485.25085425</v>
      </c>
    </row>
    <row r="6" spans="1:2" x14ac:dyDescent="0.25">
      <c r="A6" s="2" t="s">
        <v>38</v>
      </c>
      <c r="B6" s="2">
        <f>SQRT(B3)*B2</f>
        <v>8197.2052289509593</v>
      </c>
    </row>
    <row r="7" spans="1:2" x14ac:dyDescent="0.25">
      <c r="A7" s="2" t="s">
        <v>40</v>
      </c>
      <c r="B7" s="2">
        <f>B4*B6</f>
        <v>13483.202751705552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workbookViewId="0">
      <selection activeCell="O26" sqref="O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results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2019-03-12T22:52:51Z</dcterms:modified>
</cp:coreProperties>
</file>