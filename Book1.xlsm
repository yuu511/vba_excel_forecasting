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activeTab="1"/>
  </bookViews>
  <sheets>
    <sheet name="data" sheetId="2" r:id="rId1"/>
    <sheet name="static_forecast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</calcChain>
</file>

<file path=xl/sharedStrings.xml><?xml version="1.0" encoding="utf-8"?>
<sst xmlns="http://schemas.openxmlformats.org/spreadsheetml/2006/main" count="18" uniqueCount="16">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</sst>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3"/>
  <sheetViews>
    <sheetView workbookViewId="0">
      <selection activeCell="A31" sqref="A31"/>
    </sheetView>
  </sheetViews>
  <sheetFormatPr defaultRowHeight="15" x14ac:dyDescent="0.25"/>
  <cols>
    <col min="3" max="3" width="18.42578125" customWidth="1"/>
  </cols>
  <sheetData>
    <row r="1" spans="1:3" x14ac:dyDescent="0.25">
      <c r="A1" t="s">
        <v>0</v>
      </c>
      <c r="B1" t="s">
        <v>1</v>
      </c>
      <c r="C1" t="s">
        <v>15</v>
      </c>
    </row>
    <row r="2" spans="1:3" x14ac:dyDescent="0.25">
      <c r="A2">
        <v>1</v>
      </c>
      <c r="B2">
        <v>8000</v>
      </c>
      <c r="C2">
        <v>4</v>
      </c>
    </row>
    <row r="3" spans="1:3" x14ac:dyDescent="0.25">
      <c r="A3">
        <v>2</v>
      </c>
      <c r="B3">
        <v>13000</v>
      </c>
    </row>
    <row r="4" spans="1:3" x14ac:dyDescent="0.25">
      <c r="A4">
        <v>3</v>
      </c>
      <c r="B4">
        <v>23000</v>
      </c>
    </row>
    <row r="5" spans="1:3" x14ac:dyDescent="0.25">
      <c r="A5">
        <v>4</v>
      </c>
      <c r="B5">
        <v>34000</v>
      </c>
    </row>
    <row r="6" spans="1:3" x14ac:dyDescent="0.25">
      <c r="A6">
        <v>5</v>
      </c>
      <c r="B6">
        <v>10000</v>
      </c>
    </row>
    <row r="7" spans="1:3" x14ac:dyDescent="0.25">
      <c r="A7">
        <v>6</v>
      </c>
      <c r="B7">
        <v>18000</v>
      </c>
    </row>
    <row r="8" spans="1:3" x14ac:dyDescent="0.25">
      <c r="A8">
        <v>7</v>
      </c>
      <c r="B8">
        <v>23000</v>
      </c>
    </row>
    <row r="9" spans="1:3" x14ac:dyDescent="0.25">
      <c r="A9">
        <v>8</v>
      </c>
      <c r="B9">
        <v>38000</v>
      </c>
    </row>
    <row r="10" spans="1:3" x14ac:dyDescent="0.25">
      <c r="A10">
        <v>9</v>
      </c>
      <c r="B10">
        <v>12000</v>
      </c>
    </row>
    <row r="11" spans="1:3" x14ac:dyDescent="0.25">
      <c r="A11">
        <v>10</v>
      </c>
      <c r="B11">
        <v>13000</v>
      </c>
    </row>
    <row r="12" spans="1:3" x14ac:dyDescent="0.25">
      <c r="A12">
        <v>11</v>
      </c>
      <c r="B12">
        <v>32000</v>
      </c>
    </row>
    <row r="13" spans="1:3" x14ac:dyDescent="0.25">
      <c r="A13">
        <v>12</v>
      </c>
      <c r="B13">
        <v>41000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"/>
  <sheetViews>
    <sheetView tabSelected="1" workbookViewId="0">
      <selection activeCell="I2" sqref="I2"/>
    </sheetView>
  </sheetViews>
  <sheetFormatPr defaultRowHeight="15" x14ac:dyDescent="0.25"/>
  <cols>
    <col min="4" max="4" width="29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8000</v>
      </c>
      <c r="E2">
        <f>18439+B2*524</f>
        <v>18963</v>
      </c>
      <c r="F2">
        <f>C2/E2</f>
        <v>0.42187417602699995</v>
      </c>
      <c r="G2">
        <f>SUM(F2,F6,F10,)/3</f>
        <v>0.47165904366200612</v>
      </c>
      <c r="H2">
        <f>E2*G2</f>
        <v>8944.0704449626228</v>
      </c>
    </row>
    <row r="3" spans="1:15" x14ac:dyDescent="0.25">
      <c r="B3">
        <v>2</v>
      </c>
      <c r="C3">
        <v>13000</v>
      </c>
      <c r="E3">
        <f>18439+B3*524</f>
        <v>19487</v>
      </c>
      <c r="F3">
        <f>C3/E3</f>
        <v>0.66711140760507004</v>
      </c>
      <c r="G3">
        <f>SUM(F3,F7,F11,)/3</f>
        <v>0.68337026424948055</v>
      </c>
      <c r="H3">
        <f>E3*G3</f>
        <v>13316.836339429628</v>
      </c>
    </row>
    <row r="4" spans="1:15" x14ac:dyDescent="0.25">
      <c r="B4">
        <v>3</v>
      </c>
      <c r="C4">
        <v>23000</v>
      </c>
      <c r="D4">
        <f>(C2+C6+2*SUM(C3:C5))/8</f>
        <v>19750</v>
      </c>
      <c r="E4">
        <f>18439+B4*524</f>
        <v>20011</v>
      </c>
      <c r="F4">
        <f>C4/E4</f>
        <v>1.1493678476837739</v>
      </c>
      <c r="G4">
        <f>SUM(F4,F8,F12,)/3</f>
        <v>1.1706374798527197</v>
      </c>
      <c r="H4">
        <f>E4*G4</f>
        <v>23425.626609332776</v>
      </c>
    </row>
    <row r="5" spans="1:15" x14ac:dyDescent="0.25">
      <c r="B5">
        <v>4</v>
      </c>
      <c r="C5">
        <v>34000</v>
      </c>
      <c r="D5">
        <f>(C3+C7+2*SUM(C4:C6))/8</f>
        <v>20625</v>
      </c>
      <c r="E5">
        <f>18439+B5*524</f>
        <v>20535</v>
      </c>
      <c r="F5">
        <f>C5/E5</f>
        <v>1.6557097638178719</v>
      </c>
      <c r="G5">
        <f>SUM(F5,F9,F13,)/3</f>
        <v>1.6643096695132693</v>
      </c>
      <c r="H5">
        <f>E5*G5</f>
        <v>34176.599063454982</v>
      </c>
    </row>
    <row r="6" spans="1:15" x14ac:dyDescent="0.25">
      <c r="A6">
        <v>2</v>
      </c>
      <c r="B6">
        <v>5</v>
      </c>
      <c r="C6">
        <v>10000</v>
      </c>
      <c r="D6">
        <f>(C4+C8+2*SUM(C5:C7))/8</f>
        <v>21250</v>
      </c>
      <c r="E6">
        <f>18439+B6*524</f>
        <v>21059</v>
      </c>
      <c r="F6">
        <f>C6/E6</f>
        <v>0.47485635595232445</v>
      </c>
      <c r="H6">
        <f>E6*G2</f>
        <v>9932.6678004781861</v>
      </c>
    </row>
    <row r="7" spans="1:15" x14ac:dyDescent="0.25">
      <c r="B7">
        <v>6</v>
      </c>
      <c r="C7">
        <v>18000</v>
      </c>
      <c r="D7">
        <f>(C5+C9+2*SUM(C6:C8))/8</f>
        <v>21750</v>
      </c>
      <c r="E7">
        <f>18439+B7*524</f>
        <v>21583</v>
      </c>
      <c r="F7">
        <f>C7/E7</f>
        <v>0.83398971412685907</v>
      </c>
      <c r="H7">
        <f>E7*G3</f>
        <v>14749.180413296539</v>
      </c>
    </row>
    <row r="8" spans="1:15" x14ac:dyDescent="0.25">
      <c r="B8">
        <v>7</v>
      </c>
      <c r="C8">
        <v>23000</v>
      </c>
      <c r="D8">
        <f>(C6+C10+2*SUM(C7:C9))/8</f>
        <v>22500</v>
      </c>
      <c r="E8">
        <f>18439+B8*524</f>
        <v>22107</v>
      </c>
      <c r="F8">
        <f>C8/E8</f>
        <v>1.0403944451983536</v>
      </c>
      <c r="H8">
        <f>E8*G4</f>
        <v>25879.282767104076</v>
      </c>
    </row>
    <row r="9" spans="1:15" x14ac:dyDescent="0.25">
      <c r="B9">
        <v>8</v>
      </c>
      <c r="C9">
        <v>38000</v>
      </c>
      <c r="D9">
        <f>(C7+C11+2*SUM(C8:C10))/8</f>
        <v>22125</v>
      </c>
      <c r="E9">
        <f>18439+B9*524</f>
        <v>22631</v>
      </c>
      <c r="F9">
        <f>C9/E9</f>
        <v>1.6791127214882242</v>
      </c>
      <c r="H9">
        <f>E9*G5</f>
        <v>37664.992130754799</v>
      </c>
    </row>
    <row r="10" spans="1:15" x14ac:dyDescent="0.25">
      <c r="A10">
        <v>3</v>
      </c>
      <c r="B10">
        <v>9</v>
      </c>
      <c r="C10">
        <v>12000</v>
      </c>
      <c r="D10">
        <f>(C8+C12+2*SUM(C9:C11))/8</f>
        <v>22625</v>
      </c>
      <c r="E10">
        <f>18439+B10*524</f>
        <v>23155</v>
      </c>
      <c r="F10">
        <f>C10/E10</f>
        <v>0.51824659900669401</v>
      </c>
      <c r="H10">
        <f>E10*G2</f>
        <v>10921.265155993751</v>
      </c>
    </row>
    <row r="11" spans="1:15" x14ac:dyDescent="0.25">
      <c r="B11">
        <v>10</v>
      </c>
      <c r="C11">
        <v>13000</v>
      </c>
      <c r="D11">
        <f>(C9+C13+2*SUM(C10:C12))/8</f>
        <v>24125</v>
      </c>
      <c r="E11">
        <f>18439+B11*524</f>
        <v>23679</v>
      </c>
      <c r="F11">
        <f>C11/E11</f>
        <v>0.54900967101651255</v>
      </c>
      <c r="H11">
        <f>E11*G3</f>
        <v>16181.52448716345</v>
      </c>
    </row>
    <row r="12" spans="1:15" x14ac:dyDescent="0.25">
      <c r="B12">
        <v>11</v>
      </c>
      <c r="C12">
        <v>32000</v>
      </c>
      <c r="E12">
        <f>18439+B12*524</f>
        <v>24203</v>
      </c>
      <c r="F12">
        <f>C12/E12</f>
        <v>1.3221501466760319</v>
      </c>
      <c r="H12">
        <f>E12*G4</f>
        <v>28332.938924875376</v>
      </c>
    </row>
    <row r="13" spans="1:15" x14ac:dyDescent="0.25">
      <c r="B13">
        <v>12</v>
      </c>
      <c r="C13">
        <v>41000</v>
      </c>
      <c r="E13">
        <f>18439+B13*524</f>
        <v>24727</v>
      </c>
      <c r="F13">
        <f>C13/E13</f>
        <v>1.6581065232337122</v>
      </c>
      <c r="H13">
        <f>E13*G5</f>
        <v>41153.38519805461</v>
      </c>
    </row>
  </sheetData>
  <pageMargins left="0.7" right="0.7" top="0.75" bottom="0.75" header="0.3" footer="0.3"/>
  <pageSetup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static_forecast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2019-03-05T23:42:02Z</dcterms:modified>
</cp:coreProperties>
</file>