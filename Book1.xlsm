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/>
  <c r="B9" i="7" s="1"/>
  <c r="B10" i="7" l="1"/>
  <c r="B6" i="7"/>
  <c r="B8" i="7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<sst xmlns="http://schemas.openxmlformats.org/spreadsheetml/2006/main" count="101" uniqueCount="55">
  <si>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</si>
  <si>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</si>
  <si>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</si>
  <si>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</si>
  <si>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</si>
  <si>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</si>
  <si>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</si>
  <si>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</si>
  <si>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</si>
  <si>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</si>
  <si>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</si>
  <si>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</si>
  <si>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</si>
  <si>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</si>
  <si>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</si>
  <si>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</si>
  <si>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</si>
  <si>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</si>
  <si>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</si>
  <si>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</si>
  <si>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</si>
  <si>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</si>
  <si>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</si>
  <si>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</si>
  <si>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</si>
  <si>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</si>
  <si>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</si>
  <si>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</si>
  <si>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</si>
  <si>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</si>
  <si>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</si>
  <si>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</si>
  <si>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</si>
  <si>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</si>
  <si>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</si>
  <si>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</si>
  <si>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</si>
  <si>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</si>
  <si>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</si>
  <si>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</si>
  <si>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</si>
  <si>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</si>
  <si>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</si>
  <si>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</si>
  <si>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</si>
  <si>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</si>
  <si>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</si>
  <si>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</si>
  <si>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</si>
  <si>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</si>
  <si>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</si>
  <si>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Holding Order Cost</t>
  </si>
  <si>
    <t>Desired Safety Inventory</t>
  </si>
  <si>
    <t>Desired Safety Inventory (%), Lead Time (weeks)</t>
  </si>
  <si>
    <t>Lead Time (weeks)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</si>
</sst>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E24" sqref="E24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47</v>
      </c>
      <c r="G1" s="4" t="s">
        <v>26</v>
      </c>
      <c r="H1" s="4" t="s">
        <v>28</v>
      </c>
      <c r="I1" s="4" t="s">
        <v>27</v>
      </c>
      <c r="J1" s="4" t="s">
        <v>29</v>
      </c>
      <c r="K1" s="4" t="s">
        <v>30</v>
      </c>
    </row>
    <row r="2" spans="1:11" x14ac:dyDescent="0.25">
      <c r="A2">
        <v>1</v>
      </c>
      <c r="B2">
        <v>11750</v>
      </c>
      <c r="C2">
        <v>4</v>
      </c>
      <c r="D2" s="6" t="s">
        <v>19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20</v>
      </c>
      <c r="E4" s="7" t="s">
        <v>21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22</v>
      </c>
      <c r="E6" s="7" t="s">
        <v>23</v>
      </c>
      <c r="F6" s="5" t="s">
        <v>24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48</v>
      </c>
    </row>
    <row r="9" spans="1:11" x14ac:dyDescent="0.25">
      <c r="A9">
        <v>8</v>
      </c>
      <c r="B9">
        <v>17166.669999999998</v>
      </c>
      <c r="D9" s="6" t="s">
        <v>49</v>
      </c>
      <c r="E9" s="7" t="s">
        <v>50</v>
      </c>
      <c r="F9" s="8" t="s">
        <v>51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>
        <v>0.1</v>
      </c>
    </row>
    <row r="11" spans="1:11" x14ac:dyDescent="0.25">
      <c r="A11">
        <v>10</v>
      </c>
      <c r="B11">
        <v>21833.33</v>
      </c>
      <c r="D11" s="4" t="s">
        <v>53</v>
      </c>
    </row>
    <row r="12" spans="1:11" x14ac:dyDescent="0.25">
      <c r="A12">
        <v>11</v>
      </c>
      <c r="B12">
        <v>26166.67</v>
      </c>
      <c r="D12" s="6" t="s">
        <v>52</v>
      </c>
      <c r="E12" s="10" t="s">
        <v>54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>15575+B2*446</f>
        <v>16021</v>
      </c>
      <c r="F2">
        <f>C2/E2</f>
        <v>0.73341239622994814</v>
      </c>
      <c r="G2">
        <f>SUM(F2,F6,F10,)/3</f>
        <v>0.72607706521852988</v>
      </c>
      <c r="H2">
        <f>E2*G2</f>
        <v>11632.480661866068</v>
      </c>
      <c r="I2">
        <f>H2-C2</f>
        <v>-117.51933813393225</v>
      </c>
      <c r="J2">
        <f>ABS(I2)</f>
        <v>117.51933813393225</v>
      </c>
      <c r="K2">
        <f>SUMSQ($I$2:I2)/1</f>
        <v>13810.794835437504</v>
      </c>
      <c r="L2">
        <f>SUM($J$2:J2)/1</f>
        <v>117.51933813393225</v>
      </c>
      <c r="M2">
        <f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>15575+B3*446</f>
        <v>16467</v>
      </c>
      <c r="F3">
        <f>C3/E3</f>
        <v>1.1234590392907027</v>
      </c>
      <c r="G3">
        <f>SUM(F3,F7,F11,)/3</f>
        <v>1.1060603093713042</v>
      </c>
      <c r="H3">
        <f>E3*G3</f>
        <v>18213.495114417266</v>
      </c>
      <c r="I3">
        <f>H3-C3</f>
        <v>-286.50488558273355</v>
      </c>
      <c r="J3">
        <f>ABS(I3)</f>
        <v>286.50488558273355</v>
      </c>
      <c r="K3">
        <f>SUMSQ($I$2:I3)/2</f>
        <v>47947.92214910638</v>
      </c>
      <c r="L3">
        <f>SUM($J$2:J3)/2</f>
        <v>202.0121118583329</v>
      </c>
      <c r="M3">
        <f>100*(J3/C3)</f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>(C2+C6+2*SUM(C3:C5))/8</f>
        <v>16906.25</v>
      </c>
      <c r="E4">
        <f>15575+B4*446</f>
        <v>16913</v>
      </c>
      <c r="F4">
        <f>C4/E4</f>
        <v>1.3204830603677646</v>
      </c>
      <c r="G4">
        <f>SUM(F4,F8,F12,)/3</f>
        <v>1.3028202528340822</v>
      </c>
      <c r="H4">
        <f>E4*G4</f>
        <v>22034.598936182832</v>
      </c>
      <c r="I4">
        <f>H4-C4</f>
        <v>-298.73106381716934</v>
      </c>
      <c r="J4">
        <f>ABS(I4)</f>
        <v>298.73106381716934</v>
      </c>
      <c r="K4">
        <f>SUMSQ($I$2:I4)/3</f>
        <v>61712.030929183493</v>
      </c>
      <c r="L4">
        <f>SUM($J$2:J4)/3</f>
        <v>234.25176251127837</v>
      </c>
      <c r="M4">
        <f>100*(J4/C4)</f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>(C3+C7+2*SUM(C4:C6))/8</f>
        <v>17270.833749999998</v>
      </c>
      <c r="E5">
        <f>15575+B5*446</f>
        <v>17359</v>
      </c>
      <c r="F5">
        <f>C5/E5</f>
        <v>0.8305011809436027</v>
      </c>
      <c r="G5">
        <f>SUM(F5,F9,F13,)/3</f>
        <v>0.86777396714093913</v>
      </c>
      <c r="H5">
        <f>E5*G5</f>
        <v>15063.688295599562</v>
      </c>
      <c r="I5">
        <f>H5-C5</f>
        <v>647.01829559956241</v>
      </c>
      <c r="J5">
        <f>ABS(I5)</f>
        <v>647.01829559956241</v>
      </c>
      <c r="K5">
        <f>SUMSQ($I$2:I5)/4</f>
        <v>150942.19190702832</v>
      </c>
      <c r="L5">
        <f>SUM($J$2:J5)/4</f>
        <v>337.44339578334939</v>
      </c>
      <c r="M5">
        <f>100*(J5/C5)</f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>(C4+C8+2*SUM(C5:C7))/8</f>
        <v>17750.001250000001</v>
      </c>
      <c r="E6">
        <f>15575+B6*446</f>
        <v>17805</v>
      </c>
      <c r="F6">
        <f>C6/E6</f>
        <v>0.73013198539736024</v>
      </c>
      <c r="H6">
        <f>E6*G2</f>
        <v>12927.802146215925</v>
      </c>
      <c r="I6">
        <f>H6-C6</f>
        <v>-72.19785378407505</v>
      </c>
      <c r="J6">
        <f>ABS(I6)</f>
        <v>72.19785378407505</v>
      </c>
      <c r="K6">
        <f>SUMSQ($I$2:I6)/5</f>
        <v>121796.259543828</v>
      </c>
      <c r="L6">
        <f>SUM($J$2:J6)/5</f>
        <v>284.39428738349454</v>
      </c>
      <c r="M6">
        <f>100*(J6/C6)</f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>(C5+C9+2*SUM(C6:C8))/8</f>
        <v>18364.584999999999</v>
      </c>
      <c r="E7">
        <f>15575+B7*446</f>
        <v>18251</v>
      </c>
      <c r="F7">
        <f>C7/E7</f>
        <v>1.104962467809983</v>
      </c>
      <c r="H7">
        <f>E7*G3</f>
        <v>20186.706706335674</v>
      </c>
      <c r="I7">
        <f>H7-C7</f>
        <v>20.036706335675262</v>
      </c>
      <c r="J7">
        <f>ABS(I7)</f>
        <v>20.036706335675262</v>
      </c>
      <c r="K7">
        <f>SUMSQ($I$2:I7)/6</f>
        <v>101563.79455332033</v>
      </c>
      <c r="L7">
        <f>SUM($J$2:J7)/6</f>
        <v>240.33469054219131</v>
      </c>
      <c r="M7">
        <f>100*(J7/C7)</f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>(C6+C10+2*SUM(C7:C9))/8</f>
        <v>18833.334999999999</v>
      </c>
      <c r="E8">
        <f>15575+B8*446</f>
        <v>18697</v>
      </c>
      <c r="F8">
        <f>C8/E8</f>
        <v>1.3103706476974917</v>
      </c>
      <c r="H8">
        <f>E8*G4</f>
        <v>24358.830267238834</v>
      </c>
      <c r="I8">
        <f>H8-C8</f>
        <v>-141.16973276116551</v>
      </c>
      <c r="J8">
        <f>ABS(I8)</f>
        <v>141.16973276116551</v>
      </c>
      <c r="K8">
        <f>SUMSQ($I$2:I8)/7</f>
        <v>89901.665823968695</v>
      </c>
      <c r="L8">
        <f>SUM($J$2:J8)/7</f>
        <v>226.16826800204475</v>
      </c>
      <c r="M8">
        <f>100*(J8/C8)</f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>(C7+C11+2*SUM(C8:C10))/8</f>
        <v>19166.6675</v>
      </c>
      <c r="E9">
        <f>15575+B9*446</f>
        <v>19143</v>
      </c>
      <c r="F9">
        <f>C9/E9</f>
        <v>0.8967596510473802</v>
      </c>
      <c r="H9">
        <f>E9*G5</f>
        <v>16611.797052978996</v>
      </c>
      <c r="I9">
        <f>H9-C9</f>
        <v>-554.87294702100189</v>
      </c>
      <c r="J9">
        <f>ABS(I9)</f>
        <v>554.87294702100189</v>
      </c>
      <c r="K9">
        <f>SUMSQ($I$2:I9)/8</f>
        <v>117149.45601294405</v>
      </c>
      <c r="L9">
        <f>SUM($J$2:J9)/8</f>
        <v>267.25635287941441</v>
      </c>
      <c r="M9">
        <f>100*(J9/C9)</f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>(C8+C12+2*SUM(C9:C11))/8</f>
        <v>19583.333749999998</v>
      </c>
      <c r="E10">
        <f>15575+B10*446</f>
        <v>19589</v>
      </c>
      <c r="F10">
        <f>C10/E10</f>
        <v>0.71468681402828116</v>
      </c>
      <c r="H10">
        <f>E10*G2</f>
        <v>14223.123630565782</v>
      </c>
      <c r="I10">
        <f>H10-C10</f>
        <v>223.12363056578215</v>
      </c>
      <c r="J10">
        <f>ABS(I10)</f>
        <v>223.12363056578215</v>
      </c>
      <c r="K10">
        <f>SUMSQ($I$2:I10)/9</f>
        <v>109664.42251337867</v>
      </c>
      <c r="L10">
        <f>SUM($J$2:J10)/9</f>
        <v>262.35271706678861</v>
      </c>
      <c r="M10">
        <f>100*(J10/C10)</f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>(C9+C13+2*SUM(C10:C12))/8</f>
        <v>19937.5</v>
      </c>
      <c r="E11">
        <f>15575+B11*446</f>
        <v>20035</v>
      </c>
      <c r="F11">
        <f>C11/E11</f>
        <v>1.0897594210132269</v>
      </c>
      <c r="H11">
        <f>E11*G3</f>
        <v>22159.918298254081</v>
      </c>
      <c r="I11">
        <f>H11-C11</f>
        <v>326.58829825407884</v>
      </c>
      <c r="J11">
        <f>ABS(I11)</f>
        <v>326.58829825407884</v>
      </c>
      <c r="K11">
        <f>SUMSQ($I$2:I11)/10</f>
        <v>109363.97191769032</v>
      </c>
      <c r="L11">
        <f>SUM($J$2:J11)/10</f>
        <v>268.77627518551765</v>
      </c>
      <c r="M11">
        <f>100*(J11/C11)</f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>15575+B12*446</f>
        <v>20481</v>
      </c>
      <c r="F12">
        <f>C12/E12</f>
        <v>1.2776070504369903</v>
      </c>
      <c r="H12">
        <f>E12*G4</f>
        <v>26683.061598294837</v>
      </c>
      <c r="I12">
        <f>H12-C12</f>
        <v>516.39159829483833</v>
      </c>
      <c r="J12">
        <f>ABS(I12)</f>
        <v>516.39159829483833</v>
      </c>
      <c r="K12">
        <f>SUMSQ($I$2:I12)/11</f>
        <v>123663.63654240007</v>
      </c>
      <c r="L12">
        <f>SUM($J$2:J12)/11</f>
        <v>291.28675910454677</v>
      </c>
      <c r="M12">
        <f>100*(J12/C12)</f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>15575+B13*446</f>
        <v>20927</v>
      </c>
      <c r="F13">
        <f>C13/E13</f>
        <v>0.87606106943183459</v>
      </c>
      <c r="H13">
        <f>E13*G5</f>
        <v>18159.905810358432</v>
      </c>
      <c r="I13">
        <f>H13-C13</f>
        <v>-173.42418964156968</v>
      </c>
      <c r="J13">
        <f>ABS(I13)</f>
        <v>173.42418964156968</v>
      </c>
      <c r="K13">
        <f>SUMSQ($I$2:I13)/12</f>
        <v>115864.66262660299</v>
      </c>
      <c r="L13">
        <f>SUM($J$2:J13)/12</f>
        <v>281.46487831596534</v>
      </c>
      <c r="M13">
        <f>100*(J13/C13)</f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D14" sqref="D14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>AVERAGE(B2:B5)</f>
        <v>16750</v>
      </c>
    </row>
    <row r="6" spans="1:11" x14ac:dyDescent="0.25">
      <c r="A6">
        <v>5</v>
      </c>
      <c r="B6">
        <v>13000</v>
      </c>
      <c r="C6">
        <f>AVERAGE(B3:B6)</f>
        <v>17062.5</v>
      </c>
      <c r="D6">
        <f>C5</f>
        <v>16750</v>
      </c>
      <c r="E6">
        <f>D6-B6</f>
        <v>3750</v>
      </c>
      <c r="F6">
        <f>ABS(E6)</f>
        <v>3750</v>
      </c>
      <c r="G6">
        <f>SUMSQ($E$6:E6)/1</f>
        <v>14062500</v>
      </c>
      <c r="H6">
        <f>SUM($F$6:F6)/1</f>
        <v>3750</v>
      </c>
      <c r="I6">
        <f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>AVERAGE(B4:B7)</f>
        <v>17479.1675</v>
      </c>
      <c r="D7">
        <f>C6</f>
        <v>17062.5</v>
      </c>
      <c r="E7">
        <f>D7-B7</f>
        <v>-3104.1699999999983</v>
      </c>
      <c r="F7">
        <f>ABS(E7)</f>
        <v>3104.1699999999983</v>
      </c>
      <c r="G7">
        <f>SUMSQ($E$6:E7)/2</f>
        <v>11849185.694449995</v>
      </c>
      <c r="H7">
        <f>SUM($F$6:F7)/2</f>
        <v>3427.0849999999991</v>
      </c>
      <c r="I7">
        <f>100*(F7/B7)</f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>AVERAGE(B5:B8)</f>
        <v>18020.834999999999</v>
      </c>
      <c r="D8">
        <f>C7</f>
        <v>17479.1675</v>
      </c>
      <c r="E8">
        <f>D8-B8</f>
        <v>-7020.8325000000004</v>
      </c>
      <c r="F8">
        <f>ABS(E8)</f>
        <v>7020.8325000000004</v>
      </c>
      <c r="G8">
        <f>SUMSQ($E$6:E8)/3</f>
        <v>24330153.460652083</v>
      </c>
      <c r="H8">
        <f>SUM($F$6:F8)/3</f>
        <v>4625.0008333333326</v>
      </c>
      <c r="I8">
        <f>100*(F8/B8)</f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>AVERAGE(B6:B9)</f>
        <v>18708.334999999999</v>
      </c>
      <c r="D9">
        <f>C8</f>
        <v>18020.834999999999</v>
      </c>
      <c r="E9">
        <f>D9-B9</f>
        <v>854.16500000000087</v>
      </c>
      <c r="F9">
        <f>ABS(E9)</f>
        <v>854.16500000000087</v>
      </c>
      <c r="G9">
        <f>SUMSQ($E$6:E9)/4</f>
        <v>18430014.557295311</v>
      </c>
      <c r="H9">
        <f>SUM($F$6:F9)/4</f>
        <v>3682.2918749999999</v>
      </c>
      <c r="I9">
        <f>100*(F9/B9)</f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>AVERAGE(B7:B10)</f>
        <v>18958.334999999999</v>
      </c>
      <c r="D10">
        <f>C9</f>
        <v>18708.334999999999</v>
      </c>
      <c r="E10">
        <f>D10-B10</f>
        <v>4708.3349999999991</v>
      </c>
      <c r="F10">
        <f>ABS(E10)</f>
        <v>4708.3349999999991</v>
      </c>
      <c r="G10">
        <f>SUMSQ($E$6:E10)/5</f>
        <v>19177695.340281248</v>
      </c>
      <c r="H10">
        <f>SUM($F$6:F10)/5</f>
        <v>3887.5004999999996</v>
      </c>
      <c r="I10">
        <f>100*(F10/B10)</f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>AVERAGE(B8:B11)</f>
        <v>19375</v>
      </c>
      <c r="D11">
        <f>C10</f>
        <v>18958.334999999999</v>
      </c>
      <c r="E11">
        <f>D11-B11</f>
        <v>-2874.9950000000026</v>
      </c>
      <c r="F11">
        <f>ABS(E11)</f>
        <v>2874.9950000000026</v>
      </c>
      <c r="G11">
        <f>SUMSQ($E$6:E11)/6</f>
        <v>17359012.158571877</v>
      </c>
      <c r="H11">
        <f>SUM($F$6:F11)/6</f>
        <v>3718.7495833333337</v>
      </c>
      <c r="I11">
        <f>100*(F11/B11)</f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>AVERAGE(B9:B12)</f>
        <v>19791.6675</v>
      </c>
      <c r="D12">
        <f>C11</f>
        <v>19375</v>
      </c>
      <c r="E12">
        <f>D12-B12</f>
        <v>-6791.6699999999983</v>
      </c>
      <c r="F12">
        <f>ABS(E12)</f>
        <v>6791.6699999999983</v>
      </c>
      <c r="G12">
        <f>SUMSQ($E$6:E12)/7</f>
        <v>21468693.477190174</v>
      </c>
      <c r="H12">
        <f>SUM($F$6:F12)/7</f>
        <v>4157.7382142857141</v>
      </c>
      <c r="I12">
        <f>100*(F12/B12)</f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>AVERAGE(B10:B13)</f>
        <v>20083.3325</v>
      </c>
      <c r="D13">
        <f>C12</f>
        <v>19791.6675</v>
      </c>
      <c r="E13">
        <f>D13-B13</f>
        <v>1458.3374999999978</v>
      </c>
      <c r="F13">
        <f>ABS(E13)</f>
        <v>1458.3374999999978</v>
      </c>
      <c r="G13">
        <f>SUMSQ($E$6:E13)/8</f>
        <v>19050950.325529683</v>
      </c>
      <c r="H13">
        <f>SUM($F$6:F13)/8</f>
        <v>3820.3131249999997</v>
      </c>
      <c r="I13">
        <f>100*(F13/B13)</f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1"/>
      <c r="D18" s="1"/>
    </row>
    <row r="19" spans="1:4" x14ac:dyDescent="0.25">
      <c r="A19" s="1"/>
      <c r="D19" s="1"/>
    </row>
    <row r="20" spans="1:4" x14ac:dyDescent="0.25">
      <c r="A20" s="1"/>
      <c r="D20" s="1"/>
    </row>
    <row r="21" spans="1:4" x14ac:dyDescent="0.25">
      <c r="A21" s="1"/>
      <c r="D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15" sqref="D15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>0.1*B3+(1-0.1)*C2</f>
        <v>17837.500249999997</v>
      </c>
      <c r="D3">
        <f>C2</f>
        <v>18513.889166666664</v>
      </c>
      <c r="E3">
        <f>D3-B3</f>
        <v>6763.8891666666641</v>
      </c>
      <c r="F3">
        <f>ABS(E3)</f>
        <v>6763.8891666666641</v>
      </c>
      <c r="G3">
        <f>SUMSQ($E$3:E3)/1</f>
        <v>45750196.658950657</v>
      </c>
      <c r="H3">
        <f>SUM($F$3:F3)/1</f>
        <v>6763.8891666666641</v>
      </c>
      <c r="I3">
        <f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>0.1*B4+(1-0.1)*C3</f>
        <v>17903.750224999996</v>
      </c>
      <c r="D4">
        <f>C3</f>
        <v>17837.500249999997</v>
      </c>
      <c r="E4">
        <f>D4-B4</f>
        <v>-662.49975000000268</v>
      </c>
      <c r="F4">
        <f>ABS(E4)</f>
        <v>662.49975000000268</v>
      </c>
      <c r="G4">
        <f>SUMSQ($E$3:E4)/2</f>
        <v>23094551.28885036</v>
      </c>
      <c r="H4">
        <f>SUM($F$3:F4)/2</f>
        <v>3713.1944583333334</v>
      </c>
      <c r="I4">
        <f>100*(F4/B4)</f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>0.1*B5+(1-0.1)*C4</f>
        <v>18346.708202499998</v>
      </c>
      <c r="D5">
        <f>C4</f>
        <v>17903.750224999996</v>
      </c>
      <c r="E5">
        <f>D5-B5</f>
        <v>-4429.5797750000056</v>
      </c>
      <c r="F5">
        <f>ABS(E5)</f>
        <v>4429.5797750000056</v>
      </c>
      <c r="G5">
        <f>SUMSQ($E$3:E5)/3</f>
        <v>21936759.853596609</v>
      </c>
      <c r="H5">
        <f>SUM($F$3:F5)/3</f>
        <v>3951.9895638888906</v>
      </c>
      <c r="I5">
        <f>100*(F5/B5)</f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>0.1*B6+(1-0.1)*C5</f>
        <v>17953.704382250002</v>
      </c>
      <c r="D6">
        <f>C5</f>
        <v>18346.708202499998</v>
      </c>
      <c r="E6">
        <f>D6-B6</f>
        <v>3930.0382024999981</v>
      </c>
      <c r="F6">
        <f>ABS(E6)</f>
        <v>3930.0382024999981</v>
      </c>
      <c r="G6">
        <f>SUMSQ($E$3:E6)/4</f>
        <v>20313869.958474811</v>
      </c>
      <c r="H6">
        <f>SUM($F$3:F6)/4</f>
        <v>3946.5017235416676</v>
      </c>
      <c r="I6">
        <f>100*(F6/B6)</f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>0.1*B7+(1-0.1)*C6</f>
        <v>17458.333944025002</v>
      </c>
      <c r="D7">
        <f>C6</f>
        <v>17953.704382250002</v>
      </c>
      <c r="E7">
        <f>D7-B7</f>
        <v>4953.7043822500018</v>
      </c>
      <c r="F7">
        <f>ABS(E7)</f>
        <v>4953.7043822500018</v>
      </c>
      <c r="G7">
        <f>SUMSQ($E$3:E7)/5</f>
        <v>21158933.388124425</v>
      </c>
      <c r="H7">
        <f>SUM($F$3:F7)/5</f>
        <v>4147.9422552833348</v>
      </c>
      <c r="I7">
        <f>100*(F7/B7)</f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>0.1*B8+(1-0.1)*C7</f>
        <v>17729.167549622503</v>
      </c>
      <c r="D8">
        <f>C7</f>
        <v>17458.333944025002</v>
      </c>
      <c r="E8">
        <f>D8-B8</f>
        <v>-2708.3360559749963</v>
      </c>
      <c r="F8">
        <f>ABS(E8)</f>
        <v>2708.3360559749963</v>
      </c>
      <c r="G8">
        <f>SUMSQ($E$3:E8)/6</f>
        <v>18854958.522119384</v>
      </c>
      <c r="H8">
        <f>SUM($F$3:F8)/6</f>
        <v>3908.0078887319451</v>
      </c>
      <c r="I8">
        <f>100*(F8/B8)</f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>0.1*B9+(1-0.1)*C8</f>
        <v>18406.250794660253</v>
      </c>
      <c r="D9">
        <f>C8</f>
        <v>17729.167549622503</v>
      </c>
      <c r="E9">
        <f>D9-B9</f>
        <v>-6770.8324503774966</v>
      </c>
      <c r="F9">
        <f>ABS(E9)</f>
        <v>6770.8324503774966</v>
      </c>
      <c r="G9">
        <f>SUMSQ($E$3:E9)/7</f>
        <v>22710560.457685892</v>
      </c>
      <c r="H9">
        <f>SUM($F$3:F9)/7</f>
        <v>4316.982826109881</v>
      </c>
      <c r="I9">
        <f>100*(F9/B9)</f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>0.1*B10+(1-0.1)*C9</f>
        <v>18282.292715194228</v>
      </c>
      <c r="D10">
        <f>C9</f>
        <v>18406.250794660253</v>
      </c>
      <c r="E10">
        <f>D10-B10</f>
        <v>1239.5807946602545</v>
      </c>
      <c r="F10">
        <f>ABS(E10)</f>
        <v>1239.5807946602545</v>
      </c>
      <c r="G10">
        <f>SUMSQ($E$3:E10)/8</f>
        <v>20063810.468786474</v>
      </c>
      <c r="H10">
        <f>SUM($F$3:F10)/8</f>
        <v>3932.3075721786777</v>
      </c>
      <c r="I10">
        <f>100*(F10/B10)</f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>0.1*B11+(1-0.1)*C10</f>
        <v>17854.063443674804</v>
      </c>
      <c r="D11">
        <f>C10</f>
        <v>18282.292715194228</v>
      </c>
      <c r="E11">
        <f>D11-B11</f>
        <v>4282.2927151942276</v>
      </c>
      <c r="F11">
        <f>ABS(E11)</f>
        <v>4282.2927151942276</v>
      </c>
      <c r="G11">
        <f>SUMSQ($E$3:E11)/9</f>
        <v>19872057.183210816</v>
      </c>
      <c r="H11">
        <f>SUM($F$3:F11)/9</f>
        <v>3971.1948102915162</v>
      </c>
      <c r="I11">
        <f>100*(F11/B11)</f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>0.1*B12+(1-0.1)*C11</f>
        <v>18251.990099307324</v>
      </c>
      <c r="D12">
        <f>C11</f>
        <v>17854.063443674804</v>
      </c>
      <c r="E12">
        <f>D12-B12</f>
        <v>-3979.2665563251976</v>
      </c>
      <c r="F12">
        <f>ABS(E12)</f>
        <v>3979.2665563251976</v>
      </c>
      <c r="G12">
        <f>SUMSQ($E$3:E12)/10</f>
        <v>19468307.697518554</v>
      </c>
      <c r="H12">
        <f>SUM($F$3:F12)/10</f>
        <v>3972.0019848948841</v>
      </c>
      <c r="I12">
        <f>100*(F12/B12)</f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>0.1*B13+(1-0.1)*C12</f>
        <v>19043.458089376592</v>
      </c>
      <c r="D13">
        <f>C12</f>
        <v>18251.990099307324</v>
      </c>
      <c r="E13">
        <f>D13-B13</f>
        <v>-7914.679900692674</v>
      </c>
      <c r="F13">
        <f>ABS(E13)</f>
        <v>7914.679900692674</v>
      </c>
      <c r="G13">
        <f>SUMSQ($E$3:E13)/11</f>
        <v>23393203.173237648</v>
      </c>
      <c r="H13">
        <f>SUM($F$3:F13)/11</f>
        <v>4330.4272499674107</v>
      </c>
      <c r="I13">
        <f>100*(F13/B13)</f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>0.1*B14+(1-0.1)*C13</f>
        <v>18972.445280438933</v>
      </c>
      <c r="D14">
        <f>C13</f>
        <v>19043.458089376592</v>
      </c>
      <c r="E14">
        <f>D14-B14</f>
        <v>710.12808937659065</v>
      </c>
      <c r="F14">
        <f>ABS(E14)</f>
        <v>710.12808937659065</v>
      </c>
      <c r="G14">
        <f>SUMSQ($E$3:E14)/12</f>
        <v>21485793.067411315</v>
      </c>
      <c r="H14">
        <f>SUM($F$3:F14)/12</f>
        <v>4028.7356532515091</v>
      </c>
      <c r="I14">
        <f>100*(F14/B14)</f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1"/>
      <c r="D19" s="1"/>
    </row>
    <row r="20" spans="1:4" x14ac:dyDescent="0.25">
      <c r="A20" s="1"/>
      <c r="D20" s="1"/>
    </row>
    <row r="21" spans="1:4" x14ac:dyDescent="0.25">
      <c r="A21" s="1"/>
      <c r="D21" s="1"/>
    </row>
    <row r="22" spans="1:4" x14ac:dyDescent="0.25">
      <c r="A22" s="1"/>
      <c r="D22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C6" sqref="C6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>0.1*B3+(1-0.1)*(C2+D2)</f>
        <v>15195.2</v>
      </c>
      <c r="D3">
        <f>0.2*(C3-C2)+(1-0.2)*D2</f>
        <v>457.44000000000017</v>
      </c>
      <c r="E3">
        <f>C2+D2</f>
        <v>15578</v>
      </c>
      <c r="F3">
        <f>E3-B3</f>
        <v>3828</v>
      </c>
      <c r="G3">
        <f>ABS(F3)</f>
        <v>3828</v>
      </c>
      <c r="H3">
        <f>SUMSQ($F$3:F3)/1</f>
        <v>14653584</v>
      </c>
      <c r="I3">
        <f>SUM($G$3:G3)/1</f>
        <v>3828</v>
      </c>
      <c r="J3">
        <f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>0.1*B4+(1-0.1)*(C3+D3)</f>
        <v>15937.376000000002</v>
      </c>
      <c r="D4">
        <f>0.2*(C4-C3)+(1-0.2)*D3</f>
        <v>514.38720000000046</v>
      </c>
      <c r="E4">
        <f>C3+D3</f>
        <v>15652.640000000001</v>
      </c>
      <c r="F4">
        <f>E4-B4</f>
        <v>-2847.3599999999988</v>
      </c>
      <c r="G4">
        <f>ABS(F4)</f>
        <v>2847.3599999999988</v>
      </c>
      <c r="H4">
        <f>SUMSQ($F$3:F4)/2</f>
        <v>11380521.484799996</v>
      </c>
      <c r="I4">
        <f>SUM($G$3:G4)/2</f>
        <v>3337.6799999999994</v>
      </c>
      <c r="J4">
        <f>100*(G4/B4)</f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>0.1*B5+(1-0.1)*(C4+D4)</f>
        <v>17039.919880000001</v>
      </c>
      <c r="D5">
        <f>0.2*(C5-C4)+(1-0.2)*D4</f>
        <v>632.01853600000027</v>
      </c>
      <c r="E5">
        <f>C4+D4</f>
        <v>16451.763200000001</v>
      </c>
      <c r="F5">
        <f>E5-B5</f>
        <v>-5881.5668000000005</v>
      </c>
      <c r="G5">
        <f>ABS(F5)</f>
        <v>5881.5668000000005</v>
      </c>
      <c r="H5">
        <f>SUMSQ($F$3:F5)/3</f>
        <v>19117956.997487415</v>
      </c>
      <c r="I5">
        <f>SUM($G$3:G5)/3</f>
        <v>4185.6422666666667</v>
      </c>
      <c r="J5">
        <f>100*(G5/B5)</f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>0.1*B6+(1-0.1)*(C5+D5)</f>
        <v>17346.411574400001</v>
      </c>
      <c r="D6">
        <f>0.2*(C6-C5)+(1-0.2)*D5</f>
        <v>566.91316768000013</v>
      </c>
      <c r="E6">
        <f>C5+D5</f>
        <v>17671.938416000001</v>
      </c>
      <c r="F6">
        <f>E6-B6</f>
        <v>3255.2684160000008</v>
      </c>
      <c r="G6">
        <f>ABS(F6)</f>
        <v>3255.2684160000008</v>
      </c>
      <c r="H6">
        <f>SUMSQ($F$3:F6)/4</f>
        <v>16987660.863167349</v>
      </c>
      <c r="I6">
        <f>SUM($G$3:G6)/4</f>
        <v>3953.048804</v>
      </c>
      <c r="J6">
        <f>100*(G6/B6)</f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>0.1*B7+(1-0.1)*(C6+D6)</f>
        <v>17421.992267872</v>
      </c>
      <c r="D7">
        <f>0.2*(C7-C6)+(1-0.2)*D6</f>
        <v>468.64667283839981</v>
      </c>
      <c r="E7">
        <f>C6+D6</f>
        <v>17913.32474208</v>
      </c>
      <c r="F7">
        <f>E7-B7</f>
        <v>4913.3247420799999</v>
      </c>
      <c r="G7">
        <f>ABS(F7)</f>
        <v>4913.3247420799999</v>
      </c>
      <c r="H7">
        <f>SUMSQ($F$3:F7)/5</f>
        <v>18418280.694760978</v>
      </c>
      <c r="I7">
        <f>SUM($G$3:G7)/5</f>
        <v>4145.1039916159998</v>
      </c>
      <c r="J7">
        <f>100*(G7/B7)</f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>0.1*B8+(1-0.1)*(C7+D7)</f>
        <v>18118.24204663936</v>
      </c>
      <c r="D8">
        <f>0.2*(C8-C7)+(1-0.2)*D7</f>
        <v>514.16729402419196</v>
      </c>
      <c r="E8">
        <f>C7+D7</f>
        <v>17890.6389407104</v>
      </c>
      <c r="F8">
        <f>E8-B8</f>
        <v>-2276.0310592895985</v>
      </c>
      <c r="G8">
        <f>ABS(F8)</f>
        <v>2276.0310592895985</v>
      </c>
      <c r="H8">
        <f>SUMSQ($F$3:F8)/6</f>
        <v>16211953.476109304</v>
      </c>
      <c r="I8">
        <f>SUM($G$3:G8)/6</f>
        <v>3833.5918362282664</v>
      </c>
      <c r="J8">
        <f>100*(G8/B8)</f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>0.1*B9+(1-0.1)*(C8+D8)</f>
        <v>19219.168406597197</v>
      </c>
      <c r="D9">
        <f>0.2*(C9-C8)+(1-0.2)*D8</f>
        <v>631.51910721092099</v>
      </c>
      <c r="E9">
        <f>C8+D8</f>
        <v>18632.409340663551</v>
      </c>
      <c r="F9">
        <f>E9-B9</f>
        <v>-5867.5906593364489</v>
      </c>
      <c r="G9">
        <f>ABS(F9)</f>
        <v>5867.5906593364489</v>
      </c>
      <c r="H9">
        <f>SUMSQ($F$3:F9)/7</f>
        <v>18814334.428884022</v>
      </c>
      <c r="I9">
        <f>SUM($G$3:G9)/7</f>
        <v>4124.1630966722923</v>
      </c>
      <c r="J9">
        <f>100*(G9/B9)</f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>0.1*B10+(1-0.1)*(C9+D9)</f>
        <v>19582.285762427306</v>
      </c>
      <c r="D10">
        <f>0.2*(C10-C9)+(1-0.2)*D9</f>
        <v>577.83875693475852</v>
      </c>
      <c r="E10">
        <f>C9+D9</f>
        <v>19850.687513808116</v>
      </c>
      <c r="F10">
        <f>E10-B10</f>
        <v>2684.0175138081177</v>
      </c>
      <c r="G10">
        <f>ABS(F10)</f>
        <v>2684.0175138081177</v>
      </c>
      <c r="H10">
        <f>SUMSQ($F$3:F10)/8</f>
        <v>17363036.37707711</v>
      </c>
      <c r="I10">
        <f>SUM($G$3:G10)/8</f>
        <v>3944.1448988142706</v>
      </c>
      <c r="J10">
        <f>100*(G10/B10)</f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>0.1*B11+(1-0.1)*(C10+D10)</f>
        <v>19544.112067425856</v>
      </c>
      <c r="D11">
        <f>0.2*(C11-C10)+(1-0.2)*D10</f>
        <v>454.63626654751698</v>
      </c>
      <c r="E11">
        <f>C10+D10</f>
        <v>20160.124519362063</v>
      </c>
      <c r="F11">
        <f>E11-B11</f>
        <v>6160.1245193620634</v>
      </c>
      <c r="G11">
        <f>ABS(F11)</f>
        <v>6160.1245193620634</v>
      </c>
      <c r="H11">
        <f>SUMSQ($F$3:F11)/9</f>
        <v>19650158.345629174</v>
      </c>
      <c r="I11">
        <f>SUM($G$3:G11)/9</f>
        <v>4190.3648566529137</v>
      </c>
      <c r="J11">
        <f>100*(G11/B11)</f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>0.1*B12+(1-0.1)*(C11+D11)</f>
        <v>20182.206500576034</v>
      </c>
      <c r="D12">
        <f>0.2*(C12-C11)+(1-0.2)*D11</f>
        <v>491.32789986804914</v>
      </c>
      <c r="E12">
        <f>C11+D11</f>
        <v>19998.748333973374</v>
      </c>
      <c r="F12">
        <f>E12-B12</f>
        <v>-1834.5816660266282</v>
      </c>
      <c r="G12">
        <f>ABS(F12)</f>
        <v>1834.5816660266282</v>
      </c>
      <c r="H12">
        <f>SUMSQ($F$3:F12)/10</f>
        <v>18021711.499998361</v>
      </c>
      <c r="I12">
        <f>SUM($G$3:G12)/10</f>
        <v>3954.7865375902852</v>
      </c>
      <c r="J12">
        <f>100*(G12/B12)</f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>0.1*B13+(1-0.1)*(C12+D12)</f>
        <v>21222.847960399678</v>
      </c>
      <c r="D13">
        <f>0.2*(C13-C12)+(1-0.2)*D12</f>
        <v>601.19061185916826</v>
      </c>
      <c r="E13">
        <f>C12+D12</f>
        <v>20673.534400444085</v>
      </c>
      <c r="F13">
        <f>E13-B13</f>
        <v>-5493.1355995559134</v>
      </c>
      <c r="G13">
        <f>ABS(F13)</f>
        <v>5493.1355995559134</v>
      </c>
      <c r="H13">
        <f>SUMSQ($F$3:F13)/11</f>
        <v>19126513.974099282</v>
      </c>
      <c r="I13">
        <f>SUM($G$3:G13)/11</f>
        <v>4094.6364523144334</v>
      </c>
      <c r="J13">
        <f>100*(G13/B13)</f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>0.1*B14+(1-0.1)*(C13+D13)</f>
        <v>21474.967715032963</v>
      </c>
      <c r="D14">
        <f>0.2*(C14-C13)+(1-0.2)*D13</f>
        <v>531.37644041399142</v>
      </c>
      <c r="E14">
        <f>C13+D13</f>
        <v>21824.038572258847</v>
      </c>
      <c r="F14">
        <f>E14-B14</f>
        <v>3490.7085722588454</v>
      </c>
      <c r="G14">
        <f>ABS(F14)</f>
        <v>3490.7085722588454</v>
      </c>
      <c r="H14">
        <f>SUMSQ($F$3:F14)/12</f>
        <v>18548058.337627795</v>
      </c>
      <c r="I14">
        <f>SUM($G$3:G14)/12</f>
        <v>4044.3091289764675</v>
      </c>
      <c r="J14">
        <f>100*(G14/B14)</f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1"/>
      <c r="B19" s="2"/>
      <c r="C19" s="2"/>
      <c r="D19" s="2"/>
      <c r="E19" s="1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1"/>
      <c r="B20" s="2"/>
      <c r="C20" s="2"/>
      <c r="D20" s="2"/>
      <c r="E20" s="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1"/>
      <c r="B21" s="2"/>
      <c r="C21" s="2"/>
      <c r="D21" s="2"/>
      <c r="E21" s="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1"/>
      <c r="B22" s="2"/>
      <c r="C22" s="2"/>
      <c r="D22" s="2"/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D11" sqref="D11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>0.05*(B3/E3)+(1-0.05)*(C2+D2)</f>
        <v>16029.092759278834</v>
      </c>
      <c r="D3">
        <f>0.05*(C3-C2)+(1-0.05)*D2</f>
        <v>446.4046379639417</v>
      </c>
      <c r="E3">
        <v>0.72607706521852988</v>
      </c>
      <c r="F3">
        <f>(C2+D2)*E3</f>
        <v>11632.480661866068</v>
      </c>
      <c r="G3">
        <f>F3-B3</f>
        <v>-117.51933813393225</v>
      </c>
      <c r="H3">
        <f>ABS(G3)</f>
        <v>117.51933813393225</v>
      </c>
      <c r="I3">
        <f>SUMSQ($G$3:G3)/1</f>
        <v>13810.794835437504</v>
      </c>
      <c r="J3">
        <f>SUM($H$3:H3)/1</f>
        <v>117.51933813393225</v>
      </c>
      <c r="K3">
        <f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>0.05*(B4/E4)+(1-0.05)*(C3+D3)</f>
        <v>16488.024121572889</v>
      </c>
      <c r="D4">
        <f>0.05*(C4-C3)+(1-0.05)*D3</f>
        <v>447.03097418044734</v>
      </c>
      <c r="E4">
        <v>1.1060603093713042</v>
      </c>
      <c r="F4">
        <f>(C3+D3)*E4</f>
        <v>18222.893748240462</v>
      </c>
      <c r="G4">
        <f>F4-B4</f>
        <v>-277.10625175953828</v>
      </c>
      <c r="H4">
        <f>ABS(G4)</f>
        <v>277.10625175953828</v>
      </c>
      <c r="I4">
        <f>SUMSQ($G$3:G4)/2</f>
        <v>45299.334799829056</v>
      </c>
      <c r="J4">
        <f>SUM($H$3:H4)/2</f>
        <v>197.31279494673527</v>
      </c>
      <c r="K4">
        <f>100*(H4/B4)</f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>0.05*(B5/E5)+(1-0.05)*(C4+D4)</f>
        <v>16945.417125273689</v>
      </c>
      <c r="D5">
        <f>0.05*(C5-C4)+(1-0.05)*D4</f>
        <v>447.54907565646494</v>
      </c>
      <c r="E5">
        <v>1.3028202528340822</v>
      </c>
      <c r="F5">
        <f>(C4+D4)*E5</f>
        <v>22063.332761608475</v>
      </c>
      <c r="G5">
        <f>F5-B5</f>
        <v>-269.99723839152648</v>
      </c>
      <c r="H5">
        <f>ABS(G5)</f>
        <v>269.99723839152648</v>
      </c>
      <c r="I5">
        <f>SUMSQ($G$3:G5)/3</f>
        <v>54499.059446236293</v>
      </c>
      <c r="J5">
        <f>SUM($H$3:H5)/3</f>
        <v>221.54094276166566</v>
      </c>
      <c r="K5">
        <f>100*(H5/B5)</f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>0.05*(B6/E6)+(1-0.05)*(C5+D5)</f>
        <v>17353.987543690742</v>
      </c>
      <c r="D6">
        <f>0.05*(C6-C5)+(1-0.05)*D5</f>
        <v>445.60014279449439</v>
      </c>
      <c r="E6">
        <v>0.86777396714093913</v>
      </c>
      <c r="F6">
        <f>(C5+D5)*E6</f>
        <v>15093.163280529428</v>
      </c>
      <c r="G6">
        <f>F6-B6</f>
        <v>676.49328052942838</v>
      </c>
      <c r="H6">
        <f>ABS(G6)</f>
        <v>676.49328052942838</v>
      </c>
      <c r="I6">
        <f>SUMSQ($G$3:G6)/4</f>
        <v>155285.0842350442</v>
      </c>
      <c r="J6">
        <f>SUM($H$3:H6)/4</f>
        <v>335.27902720360635</v>
      </c>
      <c r="K6">
        <f>100*(H6/B6)</f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>0.05*(B7/E7)+(1-0.05)*(C6+D6)</f>
        <v>17804.400904121114</v>
      </c>
      <c r="D7">
        <f>0.05*(C7-C6)+(1-0.05)*D6</f>
        <v>445.84080367628826</v>
      </c>
      <c r="E7">
        <f>0.05*(B3/C3)+(1-0.05)*E3</f>
        <v>0.7264253175273282</v>
      </c>
      <c r="F7">
        <f>(C6+D6)*E7</f>
        <v>12930.071137010558</v>
      </c>
      <c r="G7">
        <f>F7-B7</f>
        <v>-69.928862989441768</v>
      </c>
      <c r="H7">
        <f>ABS(G7)</f>
        <v>69.928862989441768</v>
      </c>
      <c r="I7">
        <f>SUMSQ($G$3:G7)/5</f>
        <v>125206.07656383459</v>
      </c>
      <c r="J7">
        <f>SUM($H$3:H7)/5</f>
        <v>282.20899436077343</v>
      </c>
      <c r="K7">
        <f>100*(H7/B7)</f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>0.05*(B8/E8)+(1-0.05)*(C7+D7)</f>
        <v>18248.716339926545</v>
      </c>
      <c r="D8">
        <f>0.05*(C8-C7)+(1-0.05)*D7</f>
        <v>445.76453528274538</v>
      </c>
      <c r="E8">
        <f>0.05*(B4/C4)+(1-0.05)*E4</f>
        <v>1.1068586189117031</v>
      </c>
      <c r="F8">
        <f>(C7+D7)*E8</f>
        <v>20200.437331497396</v>
      </c>
      <c r="G8">
        <f>F8-B8</f>
        <v>33.767331497398118</v>
      </c>
      <c r="H8">
        <f>ABS(G8)</f>
        <v>33.767331497398118</v>
      </c>
      <c r="I8">
        <f>SUMSQ($G$3:G8)/6</f>
        <v>104528.43591593801</v>
      </c>
      <c r="J8">
        <f>SUM($H$3:H8)/6</f>
        <v>240.80205055021088</v>
      </c>
      <c r="K8">
        <f>100*(H8/B8)</f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>0.05*(B9/E9)+(1-0.05)*(C8+D8)</f>
        <v>18699.478779860547</v>
      </c>
      <c r="D9">
        <f>0.05*(C9-C8)+(1-0.05)*D8</f>
        <v>446.01443051530822</v>
      </c>
      <c r="E9">
        <f>0.05*(B5/C5)+(1-0.05)*E5</f>
        <v>1.3035770868930365</v>
      </c>
      <c r="F9">
        <f>(C8+D8)*E9</f>
        <v>24369.69692028291</v>
      </c>
      <c r="G9">
        <f>F9-B9</f>
        <v>-130.30307971709044</v>
      </c>
      <c r="H9">
        <f>ABS(G9)</f>
        <v>130.30307971709044</v>
      </c>
      <c r="I9">
        <f>SUMSQ($G$3:G9)/7</f>
        <v>92021.358297055223</v>
      </c>
      <c r="J9">
        <f>SUM($H$3:H9)/7</f>
        <v>225.01648328833653</v>
      </c>
      <c r="K9">
        <f>100*(H9/B9)</f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>0.05*(B10/E10)+(1-0.05)*(C9+D9)</f>
        <v>19179.454690129449</v>
      </c>
      <c r="D10">
        <f>0.05*(C10-C9)+(1-0.05)*D9</f>
        <v>447.71250450298788</v>
      </c>
      <c r="E10">
        <f>0.05*(B6/C6)+(1-0.05)*E6</f>
        <v>0.86592232176293893</v>
      </c>
      <c r="F10">
        <f>(C9+D9)*E10</f>
        <v>16578.509932025245</v>
      </c>
      <c r="G10">
        <f>F10-B10</f>
        <v>-588.16006797475347</v>
      </c>
      <c r="H10">
        <f>ABS(G10)</f>
        <v>588.16006797475347</v>
      </c>
      <c r="I10">
        <f>SUMSQ($G$3:G10)/8</f>
        <v>123760.22170493164</v>
      </c>
      <c r="J10">
        <f>SUM($H$3:H10)/8</f>
        <v>270.40943137413865</v>
      </c>
      <c r="K10">
        <f>100*(H10/B10)</f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>0.05*(B11/E11)+(1-0.05)*(C10+D10)</f>
        <v>19609.18422129393</v>
      </c>
      <c r="D11">
        <f>0.05*(C11-C10)+(1-0.05)*D10</f>
        <v>446.81335583606256</v>
      </c>
      <c r="E11">
        <f>0.05*(B7/C7)+(1-0.05)*E7</f>
        <v>0.72661187932235216</v>
      </c>
      <c r="F11">
        <f>(C10+D10)*E11</f>
        <v>14261.332841065892</v>
      </c>
      <c r="G11">
        <f>F11-B11</f>
        <v>261.33284106589235</v>
      </c>
      <c r="H11">
        <f>ABS(G11)</f>
        <v>261.33284106589235</v>
      </c>
      <c r="I11">
        <f>SUMSQ($G$3:G11)/9</f>
        <v>117597.40305100268</v>
      </c>
      <c r="J11">
        <f>SUM($H$3:H11)/9</f>
        <v>269.40092133988907</v>
      </c>
      <c r="K11">
        <f>100*(H11/B11)</f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>0.05*(B12/E12)+(1-0.05)*(C11+D11)</f>
        <v>20039.550585270721</v>
      </c>
      <c r="D12">
        <f>0.05*(C12-C11)+(1-0.05)*D11</f>
        <v>445.99100624309898</v>
      </c>
      <c r="E12">
        <f>0.05*(B8/C8)+(1-0.05)*E8</f>
        <v>1.1067707251543422</v>
      </c>
      <c r="F12">
        <f>(C11+D11)*E12</f>
        <v>22197.390982133893</v>
      </c>
      <c r="G12">
        <f>F12-B12</f>
        <v>364.06098213389123</v>
      </c>
      <c r="H12">
        <f>ABS(G12)</f>
        <v>364.06098213389123</v>
      </c>
      <c r="I12">
        <f>SUMSQ($G$3:G12)/10</f>
        <v>119091.70261713176</v>
      </c>
      <c r="J12">
        <f>SUM($H$3:H12)/10</f>
        <v>278.86692741928925</v>
      </c>
      <c r="K12">
        <f>100*(H12/B12)</f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>0.05*(B13/E13)+(1-0.05)*(C12+D12)</f>
        <v>20464.658478269757</v>
      </c>
      <c r="D13">
        <f>0.05*(C13-C12)+(1-0.05)*D12</f>
        <v>444.94685058089584</v>
      </c>
      <c r="E13">
        <f>0.05*(B9/C9)+(1-0.05)*E9</f>
        <v>1.3039080798773557</v>
      </c>
      <c r="F13">
        <f>(C12+D12)*E13</f>
        <v>26711.26320183849</v>
      </c>
      <c r="G13">
        <f>F13-B13</f>
        <v>544.59320183849195</v>
      </c>
      <c r="H13">
        <f>ABS(G13)</f>
        <v>544.59320183849195</v>
      </c>
      <c r="I13">
        <f>SUMSQ($G$3:G13)/11</f>
        <v>135227.16196909256</v>
      </c>
      <c r="J13">
        <f>SUM($H$3:H13)/11</f>
        <v>303.0238614573986</v>
      </c>
      <c r="K13">
        <f>100*(H13/B13)</f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>0.05*(B14/E14)+(1-0.05)*(C13+D13)</f>
        <v>20920.948594078032</v>
      </c>
      <c r="D14">
        <f>0.05*(C14-C13)+(1-0.05)*D13</f>
        <v>445.51401384226477</v>
      </c>
      <c r="E14">
        <f>0.05*(B10/C10)+(1-0.05)*E10</f>
        <v>0.86737896397097725</v>
      </c>
      <c r="F14">
        <f>(C13+D13)*E14</f>
        <v>18136.551807180502</v>
      </c>
      <c r="G14">
        <f>F14-B14</f>
        <v>-196.77819281949996</v>
      </c>
      <c r="H14">
        <f>ABS(G14)</f>
        <v>196.77819281949996</v>
      </c>
      <c r="I14">
        <f>SUMSQ($G$3:G14)/12</f>
        <v>127185.03656911053</v>
      </c>
      <c r="J14">
        <f>SUM($H$3:H14)/12</f>
        <v>294.1700557375737</v>
      </c>
      <c r="K14">
        <f>100*(H14/B14)</f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>
        <f>0.05*(C15-C14)+(1-0.05)*D14</f>
        <v>445.51401384226472</v>
      </c>
      <c r="E15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21811.976621762562</v>
      </c>
      <c r="D16">
        <f>0.05*(C16-C15)+(1-0.05)*D15</f>
        <v>445.51401384226466</v>
      </c>
      <c r="E16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22257.490635604827</v>
      </c>
      <c r="D17">
        <f>0.05*(C17-C16)+(1-0.05)*D16</f>
        <v>445.5140138422646</v>
      </c>
      <c r="E17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22703.004649447092</v>
      </c>
      <c r="D18">
        <f>0.05*(C18-C17)+(1-0.05)*D17</f>
        <v>445.51401384226455</v>
      </c>
      <c r="E18">
        <f>0.05*(B14/C14)+(1-0.05)*E14</f>
        <v>0.86782573932233831</v>
      </c>
      <c r="F18" s="1">
        <f>(C14+(4*D14))*E18</f>
        <v>19702.251794744905</v>
      </c>
    </row>
    <row r="19" spans="1:6" x14ac:dyDescent="0.25">
      <c r="A19" s="1"/>
      <c r="B19" s="1"/>
      <c r="C19" s="3"/>
      <c r="E19">
        <f>0.05*(B15/C15)+(1-0.05)*E15</f>
        <v>0.7259788438115149</v>
      </c>
      <c r="F19" s="1"/>
    </row>
    <row r="20" spans="1:6" x14ac:dyDescent="0.25">
      <c r="A20" s="1"/>
      <c r="B20" s="1"/>
      <c r="C20" s="3"/>
      <c r="E20">
        <f>0.05*(B16/C16)+(1-0.05)*E16</f>
        <v>1.1059077868076073</v>
      </c>
      <c r="F20" s="1"/>
    </row>
    <row r="21" spans="1:6" x14ac:dyDescent="0.25">
      <c r="A21" s="1"/>
      <c r="B21" s="1"/>
      <c r="C21" s="3"/>
      <c r="E21">
        <f>0.05*(B17/C17)+(1-0.05)*E17</f>
        <v>1.3026440384024001</v>
      </c>
      <c r="F21" s="1"/>
    </row>
    <row r="22" spans="1:6" x14ac:dyDescent="0.25">
      <c r="A22" s="1"/>
      <c r="B22" s="1"/>
      <c r="C22" s="3"/>
      <c r="E22">
        <f>0.05*(B18/C18)+(1-0.05)*E18</f>
        <v>0.86782573932233831</v>
      </c>
      <c r="F22" s="1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5" sqref="B15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32</v>
      </c>
      <c r="B2">
        <f>data!D10</f>
        <v>1000</v>
      </c>
    </row>
    <row r="3" spans="1:2" x14ac:dyDescent="0.25">
      <c r="A3" t="s">
        <v>33</v>
      </c>
      <c r="B3">
        <f>data!E10</f>
        <v>7500</v>
      </c>
    </row>
    <row r="4" spans="1:2" x14ac:dyDescent="0.25">
      <c r="A4" t="s">
        <v>34</v>
      </c>
      <c r="B4">
        <f>data!F10</f>
        <v>0.1</v>
      </c>
    </row>
    <row r="5" spans="1:2" x14ac:dyDescent="0.25">
      <c r="A5" t="s">
        <v>35</v>
      </c>
      <c r="B5">
        <f>SQRT((2*B1*B3)/(B4*B2))</f>
        <v>3639.9754235391229</v>
      </c>
    </row>
    <row r="6" spans="1:2" x14ac:dyDescent="0.25">
      <c r="A6" t="s">
        <v>39</v>
      </c>
      <c r="B6">
        <f>B5/2</f>
        <v>1819.9877117695614</v>
      </c>
    </row>
    <row r="7" spans="1:2" x14ac:dyDescent="0.25">
      <c r="A7" t="s">
        <v>40</v>
      </c>
      <c r="B7">
        <f>B1/B5</f>
        <v>24.266502823594152</v>
      </c>
    </row>
    <row r="8" spans="1:2" x14ac:dyDescent="0.25">
      <c r="A8" t="s">
        <v>36</v>
      </c>
      <c r="B8">
        <f>(B5/2)*B4*B2</f>
        <v>181998.77117695616</v>
      </c>
    </row>
    <row r="9" spans="1:2" x14ac:dyDescent="0.25">
      <c r="A9" t="s">
        <v>37</v>
      </c>
      <c r="B9">
        <f>365/B7</f>
        <v>15.04131034675145</v>
      </c>
    </row>
    <row r="10" spans="1:2" x14ac:dyDescent="0.25">
      <c r="A10" t="s">
        <v>38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6" sqref="B6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41</v>
      </c>
      <c r="B2">
        <f>STDEV(winter_smoothing!B15:B18)</f>
        <v>5795.5483786683762</v>
      </c>
    </row>
    <row r="3" spans="1:2" x14ac:dyDescent="0.25">
      <c r="A3" t="s">
        <v>42</v>
      </c>
      <c r="B3">
        <f>data!E13</f>
        <v>2</v>
      </c>
    </row>
    <row r="4" spans="1:2" x14ac:dyDescent="0.25">
      <c r="A4" t="s">
        <v>45</v>
      </c>
      <c r="B4">
        <f>NORMSINV(0.95)</f>
        <v>1.6448536269514715</v>
      </c>
    </row>
    <row r="5" spans="1:2" x14ac:dyDescent="0.25">
      <c r="A5" t="s">
        <v>43</v>
      </c>
      <c r="B5">
        <f>B1*B2</f>
        <v>511917739.20993382</v>
      </c>
    </row>
    <row r="6" spans="1:2" x14ac:dyDescent="0.25">
      <c r="A6" t="s">
        <v>44</v>
      </c>
      <c r="B6">
        <f>SQRT(B3)*B2</f>
        <v>8196.1431185022193</v>
      </c>
    </row>
    <row r="7" spans="1:2" x14ac:dyDescent="0.25">
      <c r="A7" t="s">
        <v>46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2019-03-11T21:56:44Z</dcterms:modified>
</cp:coreProperties>
</file>